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kte" sheetId="1" state="visible" r:id="rId3"/>
    <sheet name="Clockify Import" sheetId="2" state="visible" r:id="rId4"/>
    <sheet name="Finance Report" sheetId="3" state="visible" r:id="rId5"/>
    <sheet name="Restliche Stunden" sheetId="4" state="visible" r:id="rId6"/>
    <sheet name="Kundenreport" sheetId="5" state="visible" r:id="rId7"/>
    <sheet name="Anleitun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<sst xmlns="http://schemas.openxmlformats.org/spreadsheetml/2006/main" count="148" uniqueCount="103">
  <si>
    <t xml:space="preserve">Pre-Sales Bonus Tracker – Projektübersicht</t>
  </si>
  <si>
    <t xml:space="preserve">Robin Werner | Bonus-Rate: 2% vom Stundensatz pro gebuchter Stunde</t>
  </si>
  <si>
    <t xml:space="preserve">Projekt-ID</t>
  </si>
  <si>
    <t xml:space="preserve">Projektname</t>
  </si>
  <si>
    <t xml:space="preserve">Kunde</t>
  </si>
  <si>
    <t xml:space="preserve">Deal Value (€)</t>
  </si>
  <si>
    <t xml:space="preserve">Budget Stunden</t>
  </si>
  <si>
    <t xml:space="preserve">Stundensatz (€)</t>
  </si>
  <si>
    <t xml:space="preserve">Bonus-Rate</t>
  </si>
  <si>
    <t xml:space="preserve">Bonus/Stunde (€)</t>
  </si>
  <si>
    <t xml:space="preserve">Status</t>
  </si>
  <si>
    <t xml:space="preserve">Start-Datum</t>
  </si>
  <si>
    <t xml:space="preserve">430980254956</t>
  </si>
  <si>
    <t xml:space="preserve">Thees - Azure Migration Advisory &amp; Implement</t>
  </si>
  <si>
    <t xml:space="preserve">Thees</t>
  </si>
  <si>
    <t xml:space="preserve">Aktiv</t>
  </si>
  <si>
    <t xml:space="preserve">Clockify Import – Detaillierter Report</t>
  </si>
  <si>
    <t xml:space="preserve">Detaillierten Clockify-Export hier einfügen. Spalte G (Monat) und H (Projekt-Match) werden automatisch befüllt.</t>
  </si>
  <si>
    <t xml:space="preserve">Projekt (Clockify)</t>
  </si>
  <si>
    <t xml:space="preserve">Beschreibung</t>
  </si>
  <si>
    <t xml:space="preserve">Mitarbeiter</t>
  </si>
  <si>
    <t xml:space="preserve">Datum</t>
  </si>
  <si>
    <t xml:space="preserve">Dauer (dezimal)</t>
  </si>
  <si>
    <t xml:space="preserve">Monat (JJJJ-MM)</t>
  </si>
  <si>
    <t xml:space="preserve">Projekt-Match</t>
  </si>
  <si>
    <t xml:space="preserve">Projekt-ID (Match)</t>
  </si>
  <si>
    <t xml:space="preserve">Thees - Azure Migration Advisory &amp; Implement - 430980254956</t>
  </si>
  <si>
    <t xml:space="preserve">Montserrat Graell</t>
  </si>
  <si>
    <t xml:space="preserve">Pre-Sales Bonus – Monatliche Abrechnung</t>
  </si>
  <si>
    <t xml:space="preserve">Robin Werner | Bonusvereinbarung: 2% vom Stundensatz je gebuchter Stunde</t>
  </si>
  <si>
    <t xml:space="preserve">Monat</t>
  </si>
  <si>
    <t xml:space="preserve">Gebuchte Stunden</t>
  </si>
  <si>
    <t xml:space="preserve">Bonus (€)</t>
  </si>
  <si>
    <t xml:space="preserve">Kumuliert (€)</t>
  </si>
  <si>
    <t xml:space="preserve">Januar</t>
  </si>
  <si>
    <t xml:space="preserve">Februar</t>
  </si>
  <si>
    <t xml:space="preserve">März</t>
  </si>
  <si>
    <t xml:space="preserve">April</t>
  </si>
  <si>
    <t xml:space="preserve">Mai</t>
  </si>
  <si>
    <t xml:space="preserve">Juni</t>
  </si>
  <si>
    <t xml:space="preserve">Juli</t>
  </si>
  <si>
    <t xml:space="preserve">August</t>
  </si>
  <si>
    <t xml:space="preserve">September</t>
  </si>
  <si>
    <t xml:space="preserve">Oktober</t>
  </si>
  <si>
    <t xml:space="preserve">November</t>
  </si>
  <si>
    <t xml:space="preserve">Dezember</t>
  </si>
  <si>
    <t xml:space="preserve">GESAMT 2026</t>
  </si>
  <si>
    <t xml:space="preserve">Erstellt am:</t>
  </si>
  <si>
    <t xml:space="preserve">Hinweis: Bonus berechnet sich als Stundensatz × 2% × gebuchte Stunden pro Projekt.</t>
  </si>
  <si>
    <t xml:space="preserve">Projektstunden – Budget vs. Verbraucht</t>
  </si>
  <si>
    <t xml:space="preserve">Projekt</t>
  </si>
  <si>
    <t xml:space="preserve">Verbrauchte Stunden</t>
  </si>
  <si>
    <t xml:space="preserve">Restliche Stunden</t>
  </si>
  <si>
    <t xml:space="preserve">Auslastung (%)</t>
  </si>
  <si>
    <t xml:space="preserve">Kundenreport – Detaillierte Stundenübersicht</t>
  </si>
  <si>
    <t xml:space="preserve">Dieser Report kann direkt an den Kunden weitergegeben werden.</t>
  </si>
  <si>
    <t xml:space="preserve">Übersicht: Stunden pro Projekt und Monat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</si>
  <si>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</si>
  <si>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</si>
  <si>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</si>
  <si>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</si>
  <si>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</si>
  <si>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</si>
  <si>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</si>
  <si>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</si>
  <si>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</si>
  <si>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2026-10</t>
  </si>
  <si>
    <t xml:space="preserve">2026-11</t>
  </si>
  <si>
    <t xml:space="preserve">2026-12</t>
  </si>
  <si>
    <t xml:space="preserve">Gesamt</t>
  </si>
  <si>
    <t xml:space="preserve">Budget</t>
  </si>
  <si>
    <t xml:space="preserve">Rest</t>
  </si>
  <si>
    <t xml:space="preserve">Detail: Einzelne Zeiteinträge</t>
  </si>
  <si>
    <t xml:space="preserve">Stunden</t>
  </si>
  <si>
    <t xml:space="preserve">Pre-Sales Bonus Tracker – Anleitung</t>
  </si>
  <si>
    <t xml:space="preserve">1. PROJEKTE ANLEGEN</t>
  </si>
  <si>
    <t xml:space="preserve">   → Tab "Projekte": Projekt-ID, Name, Kunde, Deal Value und Budget Stunden eintragen.</t>
  </si>
  <si>
    <t xml:space="preserve">   → Die Projekt-ID muss im Clockify-Projektnamen enthalten sein (z.B. "430980254956").</t>
  </si>
  <si>
    <t xml:space="preserve">   → Stundensatz, Bonus/Stunde werden automatisch berechnet.</t>
  </si>
  <si>
    <t xml:space="preserve">   → Status auf "Aktiv", "Pausiert" oder "Abgeschlossen" setzen.</t>
  </si>
  <si>
    <t xml:space="preserve">   → Abgeschlossene Projekte werden in allen Tabs grau hinterlegt.</t>
  </si>
  <si>
    <t xml:space="preserve">2. CLOCKIFY IMPORT (Detaillierter Report)</t>
  </si>
  <si>
    <t xml:space="preserve">   → Exportiere in Clockify: Reports → Detailed → Export CSV.</t>
  </si>
  <si>
    <t xml:space="preserve">   → Kopiere die Daten (OHNE Header) in den Tab "Clockify Import" unter die bestehenden Einträge.</t>
  </si>
  <si>
    <t xml:space="preserve">   → Benötigte Spalten: A=Projekt, B=Kunde, C=Beschreibung, D=Mitarbeiter, E=Datum, F=Dauer(dezimal).</t>
  </si>
  <si>
    <t xml:space="preserve">   → Spalte G (Monat) und H-I (Projekt-Match) werden automatisch aus dem Datum/Projektnamen berechnet.</t>
  </si>
  <si>
    <t xml:space="preserve">   → WICHTIG: Jeden Monat UNTERHALB der bestehenden Daten einfügen!</t>
  </si>
  <si>
    <t xml:space="preserve">3. FINANCE REPORT</t>
  </si>
  <si>
    <t xml:space="preserve">   → Tab "Finance Report": Kompakte Monatsübersicht deiner Bonusauszahlungen.</t>
  </si>
  <si>
    <t xml:space="preserve">   → Zeigt pro Monat: gebuchte Stunden, Bonus und kumulierten Bonus.</t>
  </si>
  <si>
    <t xml:space="preserve">   → Monate mit Bonus werden grün hervorgehoben.</t>
  </si>
  <si>
    <t xml:space="preserve">   → Dieses Sheet direkt an Finance schicken oder als PDF exportieren.</t>
  </si>
  <si>
    <t xml:space="preserve">4. RESTLICHE STUNDEN</t>
  </si>
  <si>
    <t xml:space="preserve">   → Budget vs. verbrauchte Stunden pro Projekt.</t>
  </si>
  <si>
    <t xml:space="preserve">   → Rot = überzogen, Grün = genug Budget, Grau = abgeschlossen.</t>
  </si>
  <si>
    <t xml:space="preserve">5. KUNDENREPORT</t>
  </si>
  <si>
    <t xml:space="preserve">   → Oberer Bereich: Stunden pro Monat und Projekt (Matrix-Ansicht).</t>
  </si>
  <si>
    <t xml:space="preserve">   → Unterer Bereich: Alle Einzeleinträge mit Datum, Person, Start/Ende.</t>
  </si>
  <si>
    <t xml:space="preserve">   → Kann direkt an den Kunden weitergegeben werden.</t>
  </si>
  <si>
    <t xml:space="preserve">6. PROJEKT ABSCHLIESSEN</t>
  </si>
  <si>
    <t xml:space="preserve">   → Im Tab "Projekte" den Status auf "Abgeschlossen" ändern.</t>
  </si>
  <si>
    <t xml:space="preserve">   → Das Projekt wird in allen Tabs grau hinterlegt.</t>
  </si>
  <si>
    <t xml:space="preserve">   → Stunden und Bonus bleiben erhalten, werden aber in der aktiven Zusammenfassung nicht mehr gezählt.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</si>
</sst>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&quot; €&quot;"/>
    <numFmt numFmtId="166" formatCode="#,##0.00"/>
    <numFmt numFmtId="167" formatCode="0.0%"/>
    <numFmt numFmtId="168" formatCode="dd/mm/yyyy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6"/>
      <color rgb="FF2F5496"/>
      <name val="Arial"/>
      <family val="0"/>
      <charset val="1"/>
    </font>
    <font>
      <b val="true"/>
      <sz val="11"/>
      <name val="Arial"/>
      <family val="0"/>
      <charset val="1"/>
    </font>
    <font>
      <sz val="9"/>
      <color rgb="FF808080"/>
      <name val="Arial"/>
      <family val="0"/>
      <charset val="1"/>
    </font>
    <font>
      <i val="true"/>
      <sz val="8"/>
      <color rgb="FFA0A0A0"/>
      <name val="Arial"/>
      <family val="0"/>
      <charset val="1"/>
    </font>
    <font>
      <b val="true"/>
      <sz val="12"/>
      <color rgb="FF2F5496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double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D9D9D9"/>
        </patternFill>
      </fill>
    </dxf>
    <dxf>
      <font>
        <name val="Arial"/>
        <charset val="1"/>
        <family val="0"/>
        <b val="1"/>
        <color rgb="FF375623"/>
        <sz val="10"/>
      </font>
      <fill>
        <patternFill>
          <bgColor rgb="FFE2EFDA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2CC"/>
      <rgbColor rgb="FFE2EFD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A0A0A0"/>
      <rgbColor rgb="FF003366"/>
      <rgbColor rgb="FF00B050"/>
      <rgbColor rgb="FF003300"/>
      <rgbColor rgb="FF333300"/>
      <rgbColor rgb="FF993300"/>
      <rgbColor rgb="FF993366"/>
      <rgbColor rgb="FF2F5496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J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5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9" min="8" style="0" width="16"/>
    <col collapsed="false" customWidth="true" hidden="false" outlineLevel="0" max="10" min="10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s">
        <v>12</v>
      </c>
      <c r="B5" s="4" t="s">
        <v>13</v>
      </c>
      <c r="C5" s="4" t="s">
        <v>14</v>
      </c>
      <c r="D5" s="5" t="n">
        <v>4800</v>
      </c>
      <c r="E5" s="6" t="n">
        <v>40</v>
      </c>
      <c r="F5" s="7" t="n">
        <f aca="false">IF(E5&gt;0,D5/E5,0)</f>
        <v>120</v>
      </c>
      <c r="G5" s="8" t="n">
        <v>0.02</v>
      </c>
      <c r="H5" s="7" t="n">
        <f aca="false">F5*G5</f>
        <v>2.4</v>
      </c>
      <c r="I5" s="9" t="s">
        <v>15</v>
      </c>
      <c r="J5" s="10"/>
    </row>
    <row r="6" customFormat="false" ht="15" hidden="false" customHeight="false" outlineLevel="0" collapsed="false">
      <c r="A6" s="11"/>
      <c r="B6" s="11"/>
      <c r="C6" s="11"/>
      <c r="D6" s="5"/>
      <c r="E6" s="6"/>
      <c r="F6" s="7" t="n">
        <f aca="false">IF(E6&gt;0,D6/E6,0)</f>
        <v>0</v>
      </c>
      <c r="G6" s="8" t="n">
        <v>0.02</v>
      </c>
      <c r="H6" s="7" t="n">
        <f aca="false">F6*G6</f>
        <v>0</v>
      </c>
      <c r="I6" s="9"/>
      <c r="J6" s="10"/>
    </row>
    <row r="7" customFormat="false" ht="15" hidden="false" customHeight="false" outlineLevel="0" collapsed="false">
      <c r="A7" s="11"/>
      <c r="B7" s="11"/>
      <c r="C7" s="11"/>
      <c r="D7" s="5"/>
      <c r="E7" s="6"/>
      <c r="F7" s="7" t="n">
        <f aca="false">IF(E7&gt;0,D7/E7,0)</f>
        <v>0</v>
      </c>
      <c r="G7" s="8" t="n">
        <v>0.02</v>
      </c>
      <c r="H7" s="7" t="n">
        <f aca="false">F7*G7</f>
        <v>0</v>
      </c>
      <c r="I7" s="9"/>
      <c r="J7" s="10"/>
    </row>
    <row r="8" customFormat="false" ht="15" hidden="false" customHeight="false" outlineLevel="0" collapsed="false">
      <c r="A8" s="11"/>
      <c r="B8" s="11"/>
      <c r="C8" s="11"/>
      <c r="D8" s="5"/>
      <c r="E8" s="6"/>
      <c r="F8" s="7" t="n">
        <f aca="false">IF(E8&gt;0,D8/E8,0)</f>
        <v>0</v>
      </c>
      <c r="G8" s="8" t="n">
        <v>0.02</v>
      </c>
      <c r="H8" s="7" t="n">
        <f aca="false">F8*G8</f>
        <v>0</v>
      </c>
      <c r="I8" s="9"/>
      <c r="J8" s="10"/>
    </row>
    <row r="9" customFormat="false" ht="15" hidden="false" customHeight="false" outlineLevel="0" collapsed="false">
      <c r="A9" s="11"/>
      <c r="B9" s="11"/>
      <c r="C9" s="11"/>
      <c r="D9" s="5"/>
      <c r="E9" s="6"/>
      <c r="F9" s="7" t="n">
        <f aca="false">IF(E9&gt;0,D9/E9,0)</f>
        <v>0</v>
      </c>
      <c r="G9" s="8" t="n">
        <v>0.02</v>
      </c>
      <c r="H9" s="7" t="n">
        <f aca="false">F9*G9</f>
        <v>0</v>
      </c>
      <c r="I9" s="9"/>
      <c r="J9" s="10"/>
    </row>
    <row r="10" customFormat="false" ht="15" hidden="false" customHeight="false" outlineLevel="0" collapsed="false">
      <c r="A10" s="11"/>
      <c r="B10" s="11"/>
      <c r="C10" s="11"/>
      <c r="D10" s="5"/>
      <c r="E10" s="6"/>
      <c r="F10" s="7" t="n">
        <f aca="false">IF(E10&gt;0,D10/E10,0)</f>
        <v>0</v>
      </c>
      <c r="G10" s="8" t="n">
        <v>0.02</v>
      </c>
      <c r="H10" s="7" t="n">
        <f aca="false">F10*G10</f>
        <v>0</v>
      </c>
      <c r="I10" s="9"/>
      <c r="J10" s="10"/>
    </row>
    <row r="11" customFormat="false" ht="15" hidden="false" customHeight="false" outlineLevel="0" collapsed="false">
      <c r="A11" s="11"/>
      <c r="B11" s="11"/>
      <c r="C11" s="11"/>
      <c r="D11" s="5"/>
      <c r="E11" s="6"/>
      <c r="F11" s="7" t="n">
        <f aca="false">IF(E11&gt;0,D11/E11,0)</f>
        <v>0</v>
      </c>
      <c r="G11" s="8" t="n">
        <v>0.02</v>
      </c>
      <c r="H11" s="7" t="n">
        <f aca="false">F11*G11</f>
        <v>0</v>
      </c>
      <c r="I11" s="9"/>
      <c r="J11" s="10"/>
    </row>
    <row r="12" customFormat="false" ht="15" hidden="false" customHeight="false" outlineLevel="0" collapsed="false">
      <c r="A12" s="11"/>
      <c r="B12" s="11"/>
      <c r="C12" s="11"/>
      <c r="D12" s="5"/>
      <c r="E12" s="6"/>
      <c r="F12" s="7" t="n">
        <f aca="false">IF(E12&gt;0,D12/E12,0)</f>
        <v>0</v>
      </c>
      <c r="G12" s="8" t="n">
        <v>0.02</v>
      </c>
      <c r="H12" s="7" t="n">
        <f aca="false">F12*G12</f>
        <v>0</v>
      </c>
      <c r="I12" s="9"/>
      <c r="J12" s="10"/>
    </row>
    <row r="13" customFormat="false" ht="15" hidden="false" customHeight="false" outlineLevel="0" collapsed="false">
      <c r="A13" s="11"/>
      <c r="B13" s="11"/>
      <c r="C13" s="11"/>
      <c r="D13" s="5"/>
      <c r="E13" s="6"/>
      <c r="F13" s="7" t="n">
        <f aca="false">IF(E13&gt;0,D13/E13,0)</f>
        <v>0</v>
      </c>
      <c r="G13" s="8" t="n">
        <v>0.02</v>
      </c>
      <c r="H13" s="7" t="n">
        <f aca="false">F13*G13</f>
        <v>0</v>
      </c>
      <c r="I13" s="9"/>
      <c r="J13" s="10"/>
    </row>
    <row r="14" customFormat="false" ht="15" hidden="false" customHeight="false" outlineLevel="0" collapsed="false">
      <c r="A14" s="11"/>
      <c r="B14" s="11"/>
      <c r="C14" s="11"/>
      <c r="D14" s="5"/>
      <c r="E14" s="6"/>
      <c r="F14" s="7" t="n">
        <f aca="false">IF(E14&gt;0,D14/E14,0)</f>
        <v>0</v>
      </c>
      <c r="G14" s="8" t="n">
        <v>0.02</v>
      </c>
      <c r="H14" s="7" t="n">
        <f aca="false">F14*G14</f>
        <v>0</v>
      </c>
      <c r="I14" s="9"/>
      <c r="J14" s="10"/>
    </row>
    <row r="15" customFormat="false" ht="15" hidden="false" customHeight="false" outlineLevel="0" collapsed="false">
      <c r="A15" s="11"/>
      <c r="B15" s="11"/>
      <c r="C15" s="11"/>
      <c r="D15" s="5"/>
      <c r="E15" s="6"/>
      <c r="F15" s="7" t="n">
        <f aca="false">IF(E15&gt;0,D15/E15,0)</f>
        <v>0</v>
      </c>
      <c r="G15" s="8" t="n">
        <v>0.02</v>
      </c>
      <c r="H15" s="7" t="n">
        <f aca="false">F15*G15</f>
        <v>0</v>
      </c>
      <c r="I15" s="9"/>
      <c r="J15" s="10"/>
    </row>
    <row r="16" customFormat="false" ht="15" hidden="false" customHeight="false" outlineLevel="0" collapsed="false">
      <c r="A16" s="11"/>
      <c r="B16" s="11"/>
      <c r="C16" s="11"/>
      <c r="D16" s="5"/>
      <c r="E16" s="6"/>
      <c r="F16" s="7" t="n">
        <f aca="false">IF(E16&gt;0,D16/E16,0)</f>
        <v>0</v>
      </c>
      <c r="G16" s="8" t="n">
        <v>0.02</v>
      </c>
      <c r="H16" s="7" t="n">
        <f aca="false">F16*G16</f>
        <v>0</v>
      </c>
      <c r="I16" s="9"/>
      <c r="J16" s="10"/>
    </row>
    <row r="17" customFormat="false" ht="15" hidden="false" customHeight="false" outlineLevel="0" collapsed="false">
      <c r="A17" s="11"/>
      <c r="B17" s="11"/>
      <c r="C17" s="11"/>
      <c r="D17" s="5"/>
      <c r="E17" s="6"/>
      <c r="F17" s="7" t="n">
        <f aca="false">IF(E17&gt;0,D17/E17,0)</f>
        <v>0</v>
      </c>
      <c r="G17" s="8" t="n">
        <v>0.02</v>
      </c>
      <c r="H17" s="7" t="n">
        <f aca="false">F17*G17</f>
        <v>0</v>
      </c>
      <c r="I17" s="9"/>
      <c r="J17" s="10"/>
    </row>
    <row r="18" customFormat="false" ht="15" hidden="false" customHeight="false" outlineLevel="0" collapsed="false">
      <c r="A18" s="11"/>
      <c r="B18" s="11"/>
      <c r="C18" s="11"/>
      <c r="D18" s="5"/>
      <c r="E18" s="6"/>
      <c r="F18" s="7" t="n">
        <f aca="false">IF(E18&gt;0,D18/E18,0)</f>
        <v>0</v>
      </c>
      <c r="G18" s="8" t="n">
        <v>0.02</v>
      </c>
      <c r="H18" s="7" t="n">
        <f aca="false">F18*G18</f>
        <v>0</v>
      </c>
      <c r="I18" s="9"/>
      <c r="J18" s="10"/>
    </row>
    <row r="19" customFormat="false" ht="15" hidden="false" customHeight="false" outlineLevel="0" collapsed="false">
      <c r="A19" s="11"/>
      <c r="B19" s="11"/>
      <c r="C19" s="11"/>
      <c r="D19" s="5"/>
      <c r="E19" s="6"/>
      <c r="F19" s="7" t="n">
        <f aca="false">IF(E19&gt;0,D19/E19,0)</f>
        <v>0</v>
      </c>
      <c r="G19" s="8" t="n">
        <v>0.02</v>
      </c>
      <c r="H19" s="7" t="n">
        <f aca="false">F19*G19</f>
        <v>0</v>
      </c>
      <c r="I19" s="9"/>
      <c r="J19" s="10"/>
    </row>
    <row r="20" customFormat="false" ht="15" hidden="false" customHeight="false" outlineLevel="0" collapsed="false">
      <c r="A20" s="11"/>
      <c r="B20" s="11"/>
      <c r="C20" s="11"/>
      <c r="D20" s="5"/>
      <c r="E20" s="6"/>
      <c r="F20" s="7" t="n">
        <f aca="false">IF(E20&gt;0,D20/E20,0)</f>
        <v>0</v>
      </c>
      <c r="G20" s="8" t="n">
        <v>0.02</v>
      </c>
      <c r="H20" s="7" t="n">
        <f aca="false">F20*G20</f>
        <v>0</v>
      </c>
      <c r="I20" s="9"/>
      <c r="J20" s="10"/>
    </row>
    <row r="21" customFormat="false" ht="15" hidden="false" customHeight="false" outlineLevel="0" collapsed="false">
      <c r="A21" s="11"/>
      <c r="B21" s="11"/>
      <c r="C21" s="11"/>
      <c r="D21" s="5"/>
      <c r="E21" s="6"/>
      <c r="F21" s="7" t="n">
        <f aca="false">IF(E21&gt;0,D21/E21,0)</f>
        <v>0</v>
      </c>
      <c r="G21" s="8" t="n">
        <v>0.02</v>
      </c>
      <c r="H21" s="7" t="n">
        <f aca="false">F21*G21</f>
        <v>0</v>
      </c>
      <c r="I21" s="9"/>
      <c r="J21" s="10"/>
    </row>
    <row r="22" customFormat="false" ht="15" hidden="false" customHeight="false" outlineLevel="0" collapsed="false">
      <c r="A22" s="11"/>
      <c r="B22" s="11"/>
      <c r="C22" s="11"/>
      <c r="D22" s="5"/>
      <c r="E22" s="6"/>
      <c r="F22" s="7" t="n">
        <f aca="false">IF(E22&gt;0,D22/E22,0)</f>
        <v>0</v>
      </c>
      <c r="G22" s="8" t="n">
        <v>0.02</v>
      </c>
      <c r="H22" s="7" t="n">
        <f aca="false">F22*G22</f>
        <v>0</v>
      </c>
      <c r="I22" s="9"/>
      <c r="J22" s="10"/>
    </row>
    <row r="23" customFormat="false" ht="15" hidden="false" customHeight="false" outlineLevel="0" collapsed="false">
      <c r="A23" s="11"/>
      <c r="B23" s="11"/>
      <c r="C23" s="11"/>
      <c r="D23" s="5"/>
      <c r="E23" s="6"/>
      <c r="F23" s="7" t="n">
        <f aca="false">IF(E23&gt;0,D23/E23,0)</f>
        <v>0</v>
      </c>
      <c r="G23" s="8" t="n">
        <v>0.02</v>
      </c>
      <c r="H23" s="7" t="n">
        <f aca="false">F23*G23</f>
        <v>0</v>
      </c>
      <c r="I23" s="9"/>
      <c r="J23" s="10"/>
    </row>
    <row r="24" customFormat="false" ht="15" hidden="false" customHeight="false" outlineLevel="0" collapsed="false">
      <c r="A24" s="11"/>
      <c r="B24" s="11"/>
      <c r="C24" s="11"/>
      <c r="D24" s="5"/>
      <c r="E24" s="6"/>
      <c r="F24" s="7" t="n">
        <f aca="false">IF(E24&gt;0,D24/E24,0)</f>
        <v>0</v>
      </c>
      <c r="G24" s="8" t="n">
        <v>0.02</v>
      </c>
      <c r="H24" s="7" t="n">
        <f aca="false">F24*G24</f>
        <v>0</v>
      </c>
      <c r="I24" s="9"/>
      <c r="J24" s="10"/>
    </row>
  </sheetData>
  <mergeCells count="2">
    <mergeCell ref="A1:J1"/>
    <mergeCell ref="A2:J2"/>
  </mergeCells>
  <conditionalFormatting sqref="A5:J24">
    <cfRule type="expression" priority="2" aboveAverage="0" equalAverage="0" bottom="0" percent="0" rank="0" text="" dxfId="0">
      <formula>$I5="Abgeschlossen"</formula>
    </cfRule>
  </conditionalFormatting>
  <dataValidations count="1">
    <dataValidation allowBlank="true" error="Bitte Aktiv, Abgeschlossen oder Pausiert wählen" errorStyle="stop" errorTitle="Ungültiger Status" operator="between" showDropDown="false" showErrorMessage="false" showInputMessage="false" sqref="I5:I24" type="list">
      <formula1>"Aktiv,Abgeschlossen,Pausiert"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I2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5"/>
    <col collapsed="false" customWidth="true" hidden="false" outlineLevel="0" max="3" min="3" style="0" width="20"/>
    <col collapsed="false" customWidth="true" hidden="false" outlineLevel="0" max="4" min="4" style="0" width="25"/>
    <col collapsed="false" customWidth="true" hidden="false" outlineLevel="0" max="7" min="5" style="0" width="14"/>
    <col collapsed="false" customWidth="true" hidden="false" outlineLevel="0" max="8" min="8" style="0" width="40"/>
    <col collapsed="false" customWidth="true" hidden="false" outlineLevel="0" max="9" min="9" style="0" width="18"/>
  </cols>
  <sheetData>
    <row r="1" customFormat="false" ht="17.35" hidden="false" customHeight="false" outlineLevel="0" collapsed="false">
      <c r="A1" s="1" t="s">
        <v>16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17</v>
      </c>
      <c r="B2" s="2"/>
      <c r="C2" s="2"/>
      <c r="D2" s="2"/>
      <c r="E2" s="2"/>
      <c r="F2" s="2"/>
      <c r="G2" s="2"/>
      <c r="H2" s="2"/>
      <c r="I2" s="2"/>
    </row>
    <row r="4" customFormat="false" ht="23.85" hidden="false" customHeight="false" outlineLevel="0" collapsed="false">
      <c r="A4" s="3" t="s">
        <v>18</v>
      </c>
      <c r="B4" s="3" t="s">
        <v>4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I4" s="3" t="s">
        <v>25</v>
      </c>
    </row>
    <row r="5" customFormat="false" ht="15" hidden="false" customHeight="false" outlineLevel="0" collapsed="false">
      <c r="A5" s="4" t="s">
        <v>26</v>
      </c>
      <c r="B5" s="4" t="s">
        <v>14</v>
      </c>
      <c r="C5" s="4"/>
      <c r="D5" s="4" t="s">
        <v>27</v>
      </c>
      <c r="E5" s="12" t="n">
        <v>46072</v>
      </c>
      <c r="F5" s="13" t="n">
        <v>3</v>
      </c>
      <c r="G5" s="14" t="str">
        <f aca="false">IF(E5="","",YEAR(E5)&amp;"-"&amp;TEXT(MONTH(E5),"00"))</f>
        <v>2026-02</v>
      </c>
      <c r="H5" s="15" t="str">
        <f aca="false">IFERROR(INDEX(Projekte!B$5:B$24,MATCH(1,INDEX((ISNUMBER(SEARCH(Projekte!A$5:A$24,A5)))*(Projekte!A$5:A$24&lt;&gt;""),0),0)),"Kein Match")</f>
        <v>Thees - Azure Migration Advisory &amp; Implement</v>
      </c>
      <c r="I5" s="15" t="str">
        <f aca="false">IFERROR(INDEX(Projekte!A$5:A$24,MATCH(1,INDEX((ISNUMBER(SEARCH(Projekte!A$5:A$24,A5)))*(Projekte!A$5:A$24&lt;&gt;""),0),0)),"Kein Match")</f>
        <v>430980254956</v>
      </c>
    </row>
    <row r="6" customFormat="false" ht="15" hidden="false" customHeight="false" outlineLevel="0" collapsed="false">
      <c r="A6" s="4" t="s">
        <v>26</v>
      </c>
      <c r="B6" s="4" t="s">
        <v>14</v>
      </c>
      <c r="C6" s="4"/>
      <c r="D6" s="4" t="s">
        <v>27</v>
      </c>
      <c r="E6" s="12" t="n">
        <v>46071</v>
      </c>
      <c r="F6" s="13" t="n">
        <v>3</v>
      </c>
      <c r="G6" s="14" t="str">
        <f aca="false">IF(E6="","",YEAR(E6)&amp;"-"&amp;TEXT(MONTH(E6),"00"))</f>
        <v>2026-02</v>
      </c>
      <c r="H6" s="15" t="str">
        <f aca="false">IFERROR(INDEX(Projekte!B$5:B$24,MATCH(1,INDEX((ISNUMBER(SEARCH(Projekte!A$5:A$24,A6)))*(Projekte!A$5:A$24&lt;&gt;""),0),0)),"Kein Match")</f>
        <v>Thees - Azure Migration Advisory &amp; Implement</v>
      </c>
      <c r="I6" s="15" t="str">
        <f aca="false">IFERROR(INDEX(Projekte!A$5:A$24,MATCH(1,INDEX((ISNUMBER(SEARCH(Projekte!A$5:A$24,A6)))*(Projekte!A$5:A$24&lt;&gt;""),0),0)),"Kein Match")</f>
        <v>430980254956</v>
      </c>
    </row>
    <row r="7" customFormat="false" ht="15" hidden="false" customHeight="false" outlineLevel="0" collapsed="false">
      <c r="A7" s="4" t="s">
        <v>26</v>
      </c>
      <c r="B7" s="4" t="s">
        <v>14</v>
      </c>
      <c r="C7" s="4"/>
      <c r="D7" s="4" t="s">
        <v>27</v>
      </c>
      <c r="E7" s="12" t="n">
        <v>46070</v>
      </c>
      <c r="F7" s="13" t="n">
        <v>3</v>
      </c>
      <c r="G7" s="14" t="str">
        <f aca="false">IF(E7="","",YEAR(E7)&amp;"-"&amp;TEXT(MONTH(E7),"00"))</f>
        <v>2026-02</v>
      </c>
      <c r="H7" s="15" t="str">
        <f aca="false">IFERROR(INDEX(Projekte!B$5:B$24,MATCH(1,INDEX((ISNUMBER(SEARCH(Projekte!A$5:A$24,A7)))*(Projekte!A$5:A$24&lt;&gt;""),0),0)),"Kein Match")</f>
        <v>Thees - Azure Migration Advisory &amp; Implement</v>
      </c>
      <c r="I7" s="15" t="str">
        <f aca="false">IFERROR(INDEX(Projekte!A$5:A$24,MATCH(1,INDEX((ISNUMBER(SEARCH(Projekte!A$5:A$24,A7)))*(Projekte!A$5:A$24&lt;&gt;""),0),0)),"Kein Match")</f>
        <v>430980254956</v>
      </c>
    </row>
    <row r="8" customFormat="false" ht="15" hidden="false" customHeight="false" outlineLevel="0" collapsed="false">
      <c r="A8" s="4" t="s">
        <v>26</v>
      </c>
      <c r="B8" s="4" t="s">
        <v>14</v>
      </c>
      <c r="C8" s="4"/>
      <c r="D8" s="4" t="s">
        <v>27</v>
      </c>
      <c r="E8" s="12" t="n">
        <v>46069</v>
      </c>
      <c r="F8" s="13" t="n">
        <v>3</v>
      </c>
      <c r="G8" s="14" t="str">
        <f aca="false">IF(E8="","",YEAR(E8)&amp;"-"&amp;TEXT(MONTH(E8),"00"))</f>
        <v>2026-02</v>
      </c>
      <c r="H8" s="15" t="str">
        <f aca="false">IFERROR(INDEX(Projekte!B$5:B$24,MATCH(1,INDEX((ISNUMBER(SEARCH(Projekte!A$5:A$24,A8)))*(Projekte!A$5:A$24&lt;&gt;""),0),0)),"Kein Match")</f>
        <v>Thees - Azure Migration Advisory &amp; Implement</v>
      </c>
      <c r="I8" s="15" t="str">
        <f aca="false">IFERROR(INDEX(Projekte!A$5:A$24,MATCH(1,INDEX((ISNUMBER(SEARCH(Projekte!A$5:A$24,A8)))*(Projekte!A$5:A$24&lt;&gt;""),0),0)),"Kein Match")</f>
        <v>430980254956</v>
      </c>
    </row>
    <row r="9" customFormat="false" ht="15" hidden="false" customHeight="false" outlineLevel="0" collapsed="false">
      <c r="A9" s="4" t="s">
        <v>26</v>
      </c>
      <c r="B9" s="4" t="s">
        <v>14</v>
      </c>
      <c r="C9" s="4"/>
      <c r="D9" s="4" t="s">
        <v>27</v>
      </c>
      <c r="E9" s="12" t="n">
        <v>46066</v>
      </c>
      <c r="F9" s="13" t="n">
        <v>2</v>
      </c>
      <c r="G9" s="14" t="str">
        <f aca="false">IF(E9="","",YEAR(E9)&amp;"-"&amp;TEXT(MONTH(E9),"00"))</f>
        <v>2026-02</v>
      </c>
      <c r="H9" s="15" t="str">
        <f aca="false">IFERROR(INDEX(Projekte!B$5:B$24,MATCH(1,INDEX((ISNUMBER(SEARCH(Projekte!A$5:A$24,A9)))*(Projekte!A$5:A$24&lt;&gt;""),0),0)),"Kein Match")</f>
        <v>Thees - Azure Migration Advisory &amp; Implement</v>
      </c>
      <c r="I9" s="15" t="str">
        <f aca="false">IFERROR(INDEX(Projekte!A$5:A$24,MATCH(1,INDEX((ISNUMBER(SEARCH(Projekte!A$5:A$24,A9)))*(Projekte!A$5:A$24&lt;&gt;""),0),0)),"Kein Match")</f>
        <v>430980254956</v>
      </c>
    </row>
    <row r="10" customFormat="false" ht="15" hidden="false" customHeight="false" outlineLevel="0" collapsed="false">
      <c r="A10" s="4" t="s">
        <v>26</v>
      </c>
      <c r="B10" s="4" t="s">
        <v>14</v>
      </c>
      <c r="C10" s="4"/>
      <c r="D10" s="4" t="s">
        <v>27</v>
      </c>
      <c r="E10" s="12" t="n">
        <v>46064</v>
      </c>
      <c r="F10" s="13" t="n">
        <v>3</v>
      </c>
      <c r="G10" s="14" t="str">
        <f aca="false">IF(E10="","",YEAR(E10)&amp;"-"&amp;TEXT(MONTH(E10),"00"))</f>
        <v>2026-02</v>
      </c>
      <c r="H10" s="15" t="str">
        <f aca="false">IFERROR(INDEX(Projekte!B$5:B$24,MATCH(1,INDEX((ISNUMBER(SEARCH(Projekte!A$5:A$24,A10)))*(Projekte!A$5:A$24&lt;&gt;""),0),0)),"Kein Match")</f>
        <v>Thees - Azure Migration Advisory &amp; Implement</v>
      </c>
      <c r="I10" s="15" t="str">
        <f aca="false">IFERROR(INDEX(Projekte!A$5:A$24,MATCH(1,INDEX((ISNUMBER(SEARCH(Projekte!A$5:A$24,A10)))*(Projekte!A$5:A$24&lt;&gt;""),0),0)),"Kein Match")</f>
        <v>430980254956</v>
      </c>
    </row>
    <row r="11" customFormat="false" ht="15" hidden="false" customHeight="false" outlineLevel="0" collapsed="false">
      <c r="A11" s="4" t="s">
        <v>26</v>
      </c>
      <c r="B11" s="4" t="s">
        <v>14</v>
      </c>
      <c r="C11" s="4"/>
      <c r="D11" s="4" t="s">
        <v>27</v>
      </c>
      <c r="E11" s="12" t="n">
        <v>46062</v>
      </c>
      <c r="F11" s="13" t="n">
        <v>3</v>
      </c>
      <c r="G11" s="14" t="str">
        <f aca="false">IF(E11="","",YEAR(E11)&amp;"-"&amp;TEXT(MONTH(E11),"00"))</f>
        <v>2026-02</v>
      </c>
      <c r="H11" s="15" t="str">
        <f aca="false">IFERROR(INDEX(Projekte!B$5:B$24,MATCH(1,INDEX((ISNUMBER(SEARCH(Projekte!A$5:A$24,A11)))*(Projekte!A$5:A$24&lt;&gt;""),0),0)),"Kein Match")</f>
        <v>Thees - Azure Migration Advisory &amp; Implement</v>
      </c>
      <c r="I11" s="15" t="str">
        <f aca="false">IFERROR(INDEX(Projekte!A$5:A$24,MATCH(1,INDEX((ISNUMBER(SEARCH(Projekte!A$5:A$24,A11)))*(Projekte!A$5:A$24&lt;&gt;""),0),0)),"Kein Match")</f>
        <v>430980254956</v>
      </c>
    </row>
    <row r="12" customFormat="false" ht="15" hidden="false" customHeight="false" outlineLevel="0" collapsed="false">
      <c r="A12" s="4" t="s">
        <v>26</v>
      </c>
      <c r="B12" s="4" t="s">
        <v>14</v>
      </c>
      <c r="C12" s="4"/>
      <c r="D12" s="4" t="s">
        <v>27</v>
      </c>
      <c r="E12" s="12" t="n">
        <v>46059</v>
      </c>
      <c r="F12" s="13" t="n">
        <v>4</v>
      </c>
      <c r="G12" s="14" t="str">
        <f aca="false">IF(E12="","",YEAR(E12)&amp;"-"&amp;TEXT(MONTH(E12),"00"))</f>
        <v>2026-02</v>
      </c>
      <c r="H12" s="15" t="str">
        <f aca="false">IFERROR(INDEX(Projekte!B$5:B$24,MATCH(1,INDEX((ISNUMBER(SEARCH(Projekte!A$5:A$24,A12)))*(Projekte!A$5:A$24&lt;&gt;""),0),0)),"Kein Match")</f>
        <v>Thees - Azure Migration Advisory &amp; Implement</v>
      </c>
      <c r="I12" s="15" t="str">
        <f aca="false">IFERROR(INDEX(Projekte!A$5:A$24,MATCH(1,INDEX((ISNUMBER(SEARCH(Projekte!A$5:A$24,A12)))*(Projekte!A$5:A$24&lt;&gt;""),0),0)),"Kein Match")</f>
        <v>430980254956</v>
      </c>
    </row>
    <row r="13" customFormat="false" ht="15" hidden="false" customHeight="false" outlineLevel="0" collapsed="false">
      <c r="A13" s="4" t="s">
        <v>26</v>
      </c>
      <c r="B13" s="4" t="s">
        <v>14</v>
      </c>
      <c r="C13" s="4"/>
      <c r="D13" s="4" t="s">
        <v>27</v>
      </c>
      <c r="E13" s="12" t="n">
        <v>46058</v>
      </c>
      <c r="F13" s="13" t="n">
        <v>4</v>
      </c>
      <c r="G13" s="14" t="str">
        <f aca="false">IF(E13="","",YEAR(E13)&amp;"-"&amp;TEXT(MONTH(E13),"00"))</f>
        <v>2026-02</v>
      </c>
      <c r="H13" s="15" t="str">
        <f aca="false">IFERROR(INDEX(Projekte!B$5:B$24,MATCH(1,INDEX((ISNUMBER(SEARCH(Projekte!A$5:A$24,A13)))*(Projekte!A$5:A$24&lt;&gt;""),0),0)),"Kein Match")</f>
        <v>Thees - Azure Migration Advisory &amp; Implement</v>
      </c>
      <c r="I13" s="15" t="str">
        <f aca="false">IFERROR(INDEX(Projekte!A$5:A$24,MATCH(1,INDEX((ISNUMBER(SEARCH(Projekte!A$5:A$24,A13)))*(Projekte!A$5:A$24&lt;&gt;""),0),0)),"Kein Match")</f>
        <v>430980254956</v>
      </c>
    </row>
    <row r="14" customFormat="false" ht="15" hidden="false" customHeight="false" outlineLevel="0" collapsed="false">
      <c r="A14" s="4" t="s">
        <v>26</v>
      </c>
      <c r="B14" s="4" t="s">
        <v>14</v>
      </c>
      <c r="C14" s="4"/>
      <c r="D14" s="4" t="s">
        <v>27</v>
      </c>
      <c r="E14" s="12" t="n">
        <v>46057</v>
      </c>
      <c r="F14" s="13" t="n">
        <v>4</v>
      </c>
      <c r="G14" s="14" t="str">
        <f aca="false">IF(E14="","",YEAR(E14)&amp;"-"&amp;TEXT(MONTH(E14),"00"))</f>
        <v>2026-02</v>
      </c>
      <c r="H14" s="15" t="str">
        <f aca="false">IFERROR(INDEX(Projekte!B$5:B$24,MATCH(1,INDEX((ISNUMBER(SEARCH(Projekte!A$5:A$24,A14)))*(Projekte!A$5:A$24&lt;&gt;""),0),0)),"Kein Match")</f>
        <v>Thees - Azure Migration Advisory &amp; Implement</v>
      </c>
      <c r="I14" s="15" t="str">
        <f aca="false">IFERROR(INDEX(Projekte!A$5:A$24,MATCH(1,INDEX((ISNUMBER(SEARCH(Projekte!A$5:A$24,A14)))*(Projekte!A$5:A$24&lt;&gt;""),0),0)),"Kein Match")</f>
        <v>430980254956</v>
      </c>
    </row>
    <row r="15" customFormat="false" ht="15" hidden="false" customHeight="false" outlineLevel="0" collapsed="false">
      <c r="A15" s="4" t="s">
        <v>26</v>
      </c>
      <c r="B15" s="4" t="s">
        <v>14</v>
      </c>
      <c r="C15" s="4"/>
      <c r="D15" s="4" t="s">
        <v>27</v>
      </c>
      <c r="E15" s="12" t="n">
        <v>46056</v>
      </c>
      <c r="F15" s="13" t="n">
        <v>4</v>
      </c>
      <c r="G15" s="14" t="str">
        <f aca="false">IF(E15="","",YEAR(E15)&amp;"-"&amp;TEXT(MONTH(E15),"00"))</f>
        <v>2026-02</v>
      </c>
      <c r="H15" s="15" t="str">
        <f aca="false">IFERROR(INDEX(Projekte!B$5:B$24,MATCH(1,INDEX((ISNUMBER(SEARCH(Projekte!A$5:A$24,A15)))*(Projekte!A$5:A$24&lt;&gt;""),0),0)),"Kein Match")</f>
        <v>Thees - Azure Migration Advisory &amp; Implement</v>
      </c>
      <c r="I15" s="15" t="str">
        <f aca="false">IFERROR(INDEX(Projekte!A$5:A$24,MATCH(1,INDEX((ISNUMBER(SEARCH(Projekte!A$5:A$24,A15)))*(Projekte!A$5:A$24&lt;&gt;""),0),0)),"Kein Match")</f>
        <v>430980254956</v>
      </c>
    </row>
    <row r="16" customFormat="false" ht="15" hidden="false" customHeight="false" outlineLevel="0" collapsed="false">
      <c r="A16" s="4" t="s">
        <v>26</v>
      </c>
      <c r="B16" s="4" t="s">
        <v>14</v>
      </c>
      <c r="C16" s="4"/>
      <c r="D16" s="4" t="s">
        <v>27</v>
      </c>
      <c r="E16" s="12" t="n">
        <v>46055</v>
      </c>
      <c r="F16" s="13" t="n">
        <v>4</v>
      </c>
      <c r="G16" s="14" t="str">
        <f aca="false">IF(E16="","",YEAR(E16)&amp;"-"&amp;TEXT(MONTH(E16),"00"))</f>
        <v>2026-02</v>
      </c>
      <c r="H16" s="15" t="str">
        <f aca="false">IFERROR(INDEX(Projekte!B$5:B$24,MATCH(1,INDEX((ISNUMBER(SEARCH(Projekte!A$5:A$24,A16)))*(Projekte!A$5:A$24&lt;&gt;""),0),0)),"Kein Match")</f>
        <v>Thees - Azure Migration Advisory &amp; Implement</v>
      </c>
      <c r="I16" s="15" t="str">
        <f aca="false">IFERROR(INDEX(Projekte!A$5:A$24,MATCH(1,INDEX((ISNUMBER(SEARCH(Projekte!A$5:A$24,A16)))*(Projekte!A$5:A$24&lt;&gt;""),0),0)),"Kein Match")</f>
        <v>430980254956</v>
      </c>
    </row>
    <row r="17" customFormat="false" ht="15" hidden="false" customHeight="false" outlineLevel="0" collapsed="false">
      <c r="A17" s="4"/>
      <c r="B17" s="4"/>
      <c r="C17" s="4"/>
      <c r="D17" s="4"/>
      <c r="E17" s="4"/>
      <c r="F17" s="13"/>
      <c r="G17" s="14" t="str">
        <f aca="false">IF(E17="","",YEAR(E17)&amp;"-"&amp;TEXT(MONTH(E17),"00"))</f>
        <v/>
      </c>
      <c r="H17" s="15" t="str">
        <f aca="false">IFERROR(INDEX(Projekte!B$5:B$24,MATCH(1,INDEX((ISNUMBER(SEARCH(Projekte!A$5:A$24,A17)))*(Projekte!A$5:A$24&lt;&gt;""),0),0)),"Kein Match")</f>
        <v>Kein Match</v>
      </c>
      <c r="I17" s="15" t="str">
        <f aca="false">IFERROR(INDEX(Projekte!A$5:A$24,MATCH(1,INDEX((ISNUMBER(SEARCH(Projekte!A$5:A$24,A17)))*(Projekte!A$5:A$24&lt;&gt;""),0),0)),"Kein Match")</f>
        <v>Kein Match</v>
      </c>
    </row>
    <row r="18" customFormat="false" ht="15" hidden="false" customHeight="false" outlineLevel="0" collapsed="false">
      <c r="A18" s="4"/>
      <c r="B18" s="4"/>
      <c r="C18" s="4"/>
      <c r="D18" s="4"/>
      <c r="E18" s="4"/>
      <c r="F18" s="13"/>
      <c r="G18" s="14" t="str">
        <f aca="false">IF(E18="","",YEAR(E18)&amp;"-"&amp;TEXT(MONTH(E18),"00"))</f>
        <v/>
      </c>
      <c r="H18" s="15" t="str">
        <f aca="false">IFERROR(INDEX(Projekte!B$5:B$24,MATCH(1,INDEX((ISNUMBER(SEARCH(Projekte!A$5:A$24,A18)))*(Projekte!A$5:A$24&lt;&gt;""),0),0)),"Kein Match")</f>
        <v>Kein Match</v>
      </c>
      <c r="I18" s="15" t="str">
        <f aca="false">IFERROR(INDEX(Projekte!A$5:A$24,MATCH(1,INDEX((ISNUMBER(SEARCH(Projekte!A$5:A$24,A18)))*(Projekte!A$5:A$24&lt;&gt;""),0),0)),"Kein Match")</f>
        <v>Kein Match</v>
      </c>
    </row>
    <row r="19" customFormat="false" ht="15" hidden="false" customHeight="false" outlineLevel="0" collapsed="false">
      <c r="A19" s="4"/>
      <c r="B19" s="4"/>
      <c r="C19" s="4"/>
      <c r="D19" s="4"/>
      <c r="E19" s="4"/>
      <c r="F19" s="13"/>
      <c r="G19" s="14" t="str">
        <f aca="false">IF(E19="","",YEAR(E19)&amp;"-"&amp;TEXT(MONTH(E19),"00"))</f>
        <v/>
      </c>
      <c r="H19" s="15" t="str">
        <f aca="false">IFERROR(INDEX(Projekte!B$5:B$24,MATCH(1,INDEX((ISNUMBER(SEARCH(Projekte!A$5:A$24,A19)))*(Projekte!A$5:A$24&lt;&gt;""),0),0)),"Kein Match")</f>
        <v>Kein Match</v>
      </c>
      <c r="I19" s="15" t="str">
        <f aca="false">IFERROR(INDEX(Projekte!A$5:A$24,MATCH(1,INDEX((ISNUMBER(SEARCH(Projekte!A$5:A$24,A19)))*(Projekte!A$5:A$24&lt;&gt;""),0),0)),"Kein Match")</f>
        <v>Kein Match</v>
      </c>
    </row>
    <row r="20" customFormat="false" ht="15" hidden="false" customHeight="false" outlineLevel="0" collapsed="false">
      <c r="A20" s="4"/>
      <c r="B20" s="4"/>
      <c r="C20" s="4"/>
      <c r="D20" s="4"/>
      <c r="E20" s="4"/>
      <c r="F20" s="13"/>
      <c r="G20" s="14" t="str">
        <f aca="false">IF(E20="","",YEAR(E20)&amp;"-"&amp;TEXT(MONTH(E20),"00"))</f>
        <v/>
      </c>
      <c r="H20" s="15" t="str">
        <f aca="false">IFERROR(INDEX(Projekte!B$5:B$24,MATCH(1,INDEX((ISNUMBER(SEARCH(Projekte!A$5:A$24,A20)))*(Projekte!A$5:A$24&lt;&gt;""),0),0)),"Kein Match")</f>
        <v>Kein Match</v>
      </c>
      <c r="I20" s="15" t="str">
        <f aca="false">IFERROR(INDEX(Projekte!A$5:A$24,MATCH(1,INDEX((ISNUMBER(SEARCH(Projekte!A$5:A$24,A20)))*(Projekte!A$5:A$24&lt;&gt;""),0),0)),"Kein Match")</f>
        <v>Kein Match</v>
      </c>
    </row>
    <row r="21" customFormat="false" ht="15" hidden="false" customHeight="false" outlineLevel="0" collapsed="false">
      <c r="A21" s="4"/>
      <c r="B21" s="4"/>
      <c r="C21" s="4"/>
      <c r="D21" s="4"/>
      <c r="E21" s="4"/>
      <c r="F21" s="13"/>
      <c r="G21" s="14" t="str">
        <f aca="false">IF(E21="","",YEAR(E21)&amp;"-"&amp;TEXT(MONTH(E21),"00"))</f>
        <v/>
      </c>
      <c r="H21" s="15" t="str">
        <f aca="false">IFERROR(INDEX(Projekte!B$5:B$24,MATCH(1,INDEX((ISNUMBER(SEARCH(Projekte!A$5:A$24,A21)))*(Projekte!A$5:A$24&lt;&gt;""),0),0)),"Kein Match")</f>
        <v>Kein Match</v>
      </c>
      <c r="I21" s="15" t="str">
        <f aca="false">IFERROR(INDEX(Projekte!A$5:A$24,MATCH(1,INDEX((ISNUMBER(SEARCH(Projekte!A$5:A$24,A21)))*(Projekte!A$5:A$24&lt;&gt;""),0),0)),"Kein Match")</f>
        <v>Kein Match</v>
      </c>
    </row>
    <row r="22" customFormat="false" ht="15" hidden="false" customHeight="false" outlineLevel="0" collapsed="false">
      <c r="A22" s="4"/>
      <c r="B22" s="4"/>
      <c r="C22" s="4"/>
      <c r="D22" s="4"/>
      <c r="E22" s="4"/>
      <c r="F22" s="13"/>
      <c r="G22" s="14" t="str">
        <f aca="false">IF(E22="","",YEAR(E22)&amp;"-"&amp;TEXT(MONTH(E22),"00"))</f>
        <v/>
      </c>
      <c r="H22" s="15" t="str">
        <f aca="false">IFERROR(INDEX(Projekte!B$5:B$24,MATCH(1,INDEX((ISNUMBER(SEARCH(Projekte!A$5:A$24,A22)))*(Projekte!A$5:A$24&lt;&gt;""),0),0)),"Kein Match")</f>
        <v>Kein Match</v>
      </c>
      <c r="I22" s="15" t="str">
        <f aca="false">IFERROR(INDEX(Projekte!A$5:A$24,MATCH(1,INDEX((ISNUMBER(SEARCH(Projekte!A$5:A$24,A22)))*(Projekte!A$5:A$24&lt;&gt;""),0),0)),"Kein Match")</f>
        <v>Kein Match</v>
      </c>
    </row>
    <row r="23" customFormat="false" ht="15" hidden="false" customHeight="false" outlineLevel="0" collapsed="false">
      <c r="A23" s="4"/>
      <c r="B23" s="4"/>
      <c r="C23" s="4"/>
      <c r="D23" s="4"/>
      <c r="E23" s="4"/>
      <c r="F23" s="13"/>
      <c r="G23" s="14" t="str">
        <f aca="false">IF(E23="","",YEAR(E23)&amp;"-"&amp;TEXT(MONTH(E23),"00"))</f>
        <v/>
      </c>
      <c r="H23" s="15" t="str">
        <f aca="false">IFERROR(INDEX(Projekte!B$5:B$24,MATCH(1,INDEX((ISNUMBER(SEARCH(Projekte!A$5:A$24,A23)))*(Projekte!A$5:A$24&lt;&gt;""),0),0)),"Kein Match")</f>
        <v>Kein Match</v>
      </c>
      <c r="I23" s="15" t="str">
        <f aca="false">IFERROR(INDEX(Projekte!A$5:A$24,MATCH(1,INDEX((ISNUMBER(SEARCH(Projekte!A$5:A$24,A23)))*(Projekte!A$5:A$24&lt;&gt;""),0),0)),"Kein Match")</f>
        <v>Kein Match</v>
      </c>
    </row>
    <row r="24" customFormat="false" ht="15" hidden="false" customHeight="false" outlineLevel="0" collapsed="false">
      <c r="A24" s="4"/>
      <c r="B24" s="4"/>
      <c r="C24" s="4"/>
      <c r="D24" s="4"/>
      <c r="E24" s="4"/>
      <c r="F24" s="13"/>
      <c r="G24" s="14" t="str">
        <f aca="false">IF(E24="","",YEAR(E24)&amp;"-"&amp;TEXT(MONTH(E24),"00"))</f>
        <v/>
      </c>
      <c r="H24" s="15" t="str">
        <f aca="false">IFERROR(INDEX(Projekte!B$5:B$24,MATCH(1,INDEX((ISNUMBER(SEARCH(Projekte!A$5:A$24,A24)))*(Projekte!A$5:A$24&lt;&gt;""),0),0)),"Kein Match")</f>
        <v>Kein Match</v>
      </c>
      <c r="I24" s="15" t="str">
        <f aca="false">IFERROR(INDEX(Projekte!A$5:A$24,MATCH(1,INDEX((ISNUMBER(SEARCH(Projekte!A$5:A$24,A24)))*(Projekte!A$5:A$24&lt;&gt;""),0),0)),"Kein Match")</f>
        <v>Kein Match</v>
      </c>
    </row>
    <row r="25" customFormat="false" ht="15" hidden="false" customHeight="false" outlineLevel="0" collapsed="false">
      <c r="A25" s="4"/>
      <c r="B25" s="4"/>
      <c r="C25" s="4"/>
      <c r="D25" s="4"/>
      <c r="E25" s="4"/>
      <c r="F25" s="13"/>
      <c r="G25" s="14" t="str">
        <f aca="false">IF(E25="","",YEAR(E25)&amp;"-"&amp;TEXT(MONTH(E25),"00"))</f>
        <v/>
      </c>
      <c r="H25" s="15" t="str">
        <f aca="false">IFERROR(INDEX(Projekte!B$5:B$24,MATCH(1,INDEX((ISNUMBER(SEARCH(Projekte!A$5:A$24,A25)))*(Projekte!A$5:A$24&lt;&gt;""),0),0)),"Kein Match")</f>
        <v>Kein Match</v>
      </c>
      <c r="I25" s="15" t="str">
        <f aca="false">IFERROR(INDEX(Projekte!A$5:A$24,MATCH(1,INDEX((ISNUMBER(SEARCH(Projekte!A$5:A$24,A25)))*(Projekte!A$5:A$24&lt;&gt;""),0),0)),"Kein Match")</f>
        <v>Kein Match</v>
      </c>
    </row>
    <row r="26" customFormat="false" ht="15" hidden="false" customHeight="false" outlineLevel="0" collapsed="false">
      <c r="A26" s="4"/>
      <c r="B26" s="4"/>
      <c r="C26" s="4"/>
      <c r="D26" s="4"/>
      <c r="E26" s="4"/>
      <c r="F26" s="13"/>
      <c r="G26" s="14" t="str">
        <f aca="false">IF(E26="","",YEAR(E26)&amp;"-"&amp;TEXT(MONTH(E26),"00"))</f>
        <v/>
      </c>
      <c r="H26" s="15" t="str">
        <f aca="false">IFERROR(INDEX(Projekte!B$5:B$24,MATCH(1,INDEX((ISNUMBER(SEARCH(Projekte!A$5:A$24,A26)))*(Projekte!A$5:A$24&lt;&gt;""),0),0)),"Kein Match")</f>
        <v>Kein Match</v>
      </c>
      <c r="I26" s="15" t="str">
        <f aca="false">IFERROR(INDEX(Projekte!A$5:A$24,MATCH(1,INDEX((ISNUMBER(SEARCH(Projekte!A$5:A$24,A26)))*(Projekte!A$5:A$24&lt;&gt;""),0),0)),"Kein Match")</f>
        <v>Kein Match</v>
      </c>
    </row>
    <row r="27" customFormat="false" ht="15" hidden="false" customHeight="false" outlineLevel="0" collapsed="false">
      <c r="A27" s="4"/>
      <c r="B27" s="4"/>
      <c r="C27" s="4"/>
      <c r="D27" s="4"/>
      <c r="E27" s="4"/>
      <c r="F27" s="13"/>
      <c r="G27" s="14" t="str">
        <f aca="false">IF(E27="","",YEAR(E27)&amp;"-"&amp;TEXT(MONTH(E27),"00"))</f>
        <v/>
      </c>
      <c r="H27" s="15" t="str">
        <f aca="false">IFERROR(INDEX(Projekte!B$5:B$24,MATCH(1,INDEX((ISNUMBER(SEARCH(Projekte!A$5:A$24,A27)))*(Projekte!A$5:A$24&lt;&gt;""),0),0)),"Kein Match")</f>
        <v>Kein Match</v>
      </c>
      <c r="I27" s="15" t="str">
        <f aca="false">IFERROR(INDEX(Projekte!A$5:A$24,MATCH(1,INDEX((ISNUMBER(SEARCH(Projekte!A$5:A$24,A27)))*(Projekte!A$5:A$24&lt;&gt;""),0),0)),"Kein Match")</f>
        <v>Kein Match</v>
      </c>
    </row>
    <row r="28" customFormat="false" ht="15" hidden="false" customHeight="false" outlineLevel="0" collapsed="false">
      <c r="A28" s="4"/>
      <c r="B28" s="4"/>
      <c r="C28" s="4"/>
      <c r="D28" s="4"/>
      <c r="E28" s="4"/>
      <c r="F28" s="13"/>
      <c r="G28" s="14" t="str">
        <f aca="false">IF(E28="","",YEAR(E28)&amp;"-"&amp;TEXT(MONTH(E28),"00"))</f>
        <v/>
      </c>
      <c r="H28" s="15" t="str">
        <f aca="false">IFERROR(INDEX(Projekte!B$5:B$24,MATCH(1,INDEX((ISNUMBER(SEARCH(Projekte!A$5:A$24,A28)))*(Projekte!A$5:A$24&lt;&gt;""),0),0)),"Kein Match")</f>
        <v>Kein Match</v>
      </c>
      <c r="I28" s="15" t="str">
        <f aca="false">IFERROR(INDEX(Projekte!A$5:A$24,MATCH(1,INDEX((ISNUMBER(SEARCH(Projekte!A$5:A$24,A28)))*(Projekte!A$5:A$24&lt;&gt;""),0),0)),"Kein Match")</f>
        <v>Kein Match</v>
      </c>
    </row>
    <row r="29" customFormat="false" ht="15" hidden="false" customHeight="false" outlineLevel="0" collapsed="false">
      <c r="A29" s="4"/>
      <c r="B29" s="4"/>
      <c r="C29" s="4"/>
      <c r="D29" s="4"/>
      <c r="E29" s="4"/>
      <c r="F29" s="13"/>
      <c r="G29" s="14" t="str">
        <f aca="false">IF(E29="","",YEAR(E29)&amp;"-"&amp;TEXT(MONTH(E29),"00"))</f>
        <v/>
      </c>
      <c r="H29" s="15" t="str">
        <f aca="false">IFERROR(INDEX(Projekte!B$5:B$24,MATCH(1,INDEX((ISNUMBER(SEARCH(Projekte!A$5:A$24,A29)))*(Projekte!A$5:A$24&lt;&gt;""),0),0)),"Kein Match")</f>
        <v>Kein Match</v>
      </c>
      <c r="I29" s="15" t="str">
        <f aca="false">IFERROR(INDEX(Projekte!A$5:A$24,MATCH(1,INDEX((ISNUMBER(SEARCH(Projekte!A$5:A$24,A29)))*(Projekte!A$5:A$24&lt;&gt;""),0),0)),"Kein Match")</f>
        <v>Kein Match</v>
      </c>
    </row>
    <row r="30" customFormat="false" ht="15" hidden="false" customHeight="false" outlineLevel="0" collapsed="false">
      <c r="A30" s="4"/>
      <c r="B30" s="4"/>
      <c r="C30" s="4"/>
      <c r="D30" s="4"/>
      <c r="E30" s="4"/>
      <c r="F30" s="13"/>
      <c r="G30" s="14" t="str">
        <f aca="false">IF(E30="","",YEAR(E30)&amp;"-"&amp;TEXT(MONTH(E30),"00"))</f>
        <v/>
      </c>
      <c r="H30" s="15" t="str">
        <f aca="false">IFERROR(INDEX(Projekte!B$5:B$24,MATCH(1,INDEX((ISNUMBER(SEARCH(Projekte!A$5:A$24,A30)))*(Projekte!A$5:A$24&lt;&gt;""),0),0)),"Kein Match")</f>
        <v>Kein Match</v>
      </c>
      <c r="I30" s="15" t="str">
        <f aca="false">IFERROR(INDEX(Projekte!A$5:A$24,MATCH(1,INDEX((ISNUMBER(SEARCH(Projekte!A$5:A$24,A30)))*(Projekte!A$5:A$24&lt;&gt;""),0),0)),"Kein Match")</f>
        <v>Kein Match</v>
      </c>
    </row>
    <row r="31" customFormat="false" ht="15" hidden="false" customHeight="false" outlineLevel="0" collapsed="false">
      <c r="A31" s="4"/>
      <c r="B31" s="4"/>
      <c r="C31" s="4"/>
      <c r="D31" s="4"/>
      <c r="E31" s="4"/>
      <c r="F31" s="13"/>
      <c r="G31" s="14" t="str">
        <f aca="false">IF(E31="","",YEAR(E31)&amp;"-"&amp;TEXT(MONTH(E31),"00"))</f>
        <v/>
      </c>
      <c r="H31" s="15" t="str">
        <f aca="false">IFERROR(INDEX(Projekte!B$5:B$24,MATCH(1,INDEX((ISNUMBER(SEARCH(Projekte!A$5:A$24,A31)))*(Projekte!A$5:A$24&lt;&gt;""),0),0)),"Kein Match")</f>
        <v>Kein Match</v>
      </c>
      <c r="I31" s="15" t="str">
        <f aca="false">IFERROR(INDEX(Projekte!A$5:A$24,MATCH(1,INDEX((ISNUMBER(SEARCH(Projekte!A$5:A$24,A31)))*(Projekte!A$5:A$24&lt;&gt;""),0),0)),"Kein Match")</f>
        <v>Kein Match</v>
      </c>
    </row>
    <row r="32" customFormat="false" ht="15" hidden="false" customHeight="false" outlineLevel="0" collapsed="false">
      <c r="A32" s="4"/>
      <c r="B32" s="4"/>
      <c r="C32" s="4"/>
      <c r="D32" s="4"/>
      <c r="E32" s="4"/>
      <c r="F32" s="13"/>
      <c r="G32" s="14" t="str">
        <f aca="false">IF(E32="","",YEAR(E32)&amp;"-"&amp;TEXT(MONTH(E32),"00"))</f>
        <v/>
      </c>
      <c r="H32" s="15" t="str">
        <f aca="false">IFERROR(INDEX(Projekte!B$5:B$24,MATCH(1,INDEX((ISNUMBER(SEARCH(Projekte!A$5:A$24,A32)))*(Projekte!A$5:A$24&lt;&gt;""),0),0)),"Kein Match")</f>
        <v>Kein Match</v>
      </c>
      <c r="I32" s="15" t="str">
        <f aca="false">IFERROR(INDEX(Projekte!A$5:A$24,MATCH(1,INDEX((ISNUMBER(SEARCH(Projekte!A$5:A$24,A32)))*(Projekte!A$5:A$24&lt;&gt;""),0),0)),"Kein Match")</f>
        <v>Kein Match</v>
      </c>
    </row>
    <row r="33" customFormat="false" ht="15" hidden="false" customHeight="false" outlineLevel="0" collapsed="false">
      <c r="A33" s="4"/>
      <c r="B33" s="4"/>
      <c r="C33" s="4"/>
      <c r="D33" s="4"/>
      <c r="E33" s="4"/>
      <c r="F33" s="13"/>
      <c r="G33" s="14" t="str">
        <f aca="false">IF(E33="","",YEAR(E33)&amp;"-"&amp;TEXT(MONTH(E33),"00"))</f>
        <v/>
      </c>
      <c r="H33" s="15" t="str">
        <f aca="false">IFERROR(INDEX(Projekte!B$5:B$24,MATCH(1,INDEX((ISNUMBER(SEARCH(Projekte!A$5:A$24,A33)))*(Projekte!A$5:A$24&lt;&gt;""),0),0)),"Kein Match")</f>
        <v>Kein Match</v>
      </c>
      <c r="I33" s="15" t="str">
        <f aca="false">IFERROR(INDEX(Projekte!A$5:A$24,MATCH(1,INDEX((ISNUMBER(SEARCH(Projekte!A$5:A$24,A33)))*(Projekte!A$5:A$24&lt;&gt;""),0),0)),"Kein Match")</f>
        <v>Kein Match</v>
      </c>
    </row>
    <row r="34" customFormat="false" ht="15" hidden="false" customHeight="false" outlineLevel="0" collapsed="false">
      <c r="A34" s="4"/>
      <c r="B34" s="4"/>
      <c r="C34" s="4"/>
      <c r="D34" s="4"/>
      <c r="E34" s="4"/>
      <c r="F34" s="13"/>
      <c r="G34" s="14" t="str">
        <f aca="false">IF(E34="","",YEAR(E34)&amp;"-"&amp;TEXT(MONTH(E34),"00"))</f>
        <v/>
      </c>
      <c r="H34" s="15" t="str">
        <f aca="false">IFERROR(INDEX(Projekte!B$5:B$24,MATCH(1,INDEX((ISNUMBER(SEARCH(Projekte!A$5:A$24,A34)))*(Projekte!A$5:A$24&lt;&gt;""),0),0)),"Kein Match")</f>
        <v>Kein Match</v>
      </c>
      <c r="I34" s="15" t="str">
        <f aca="false">IFERROR(INDEX(Projekte!A$5:A$24,MATCH(1,INDEX((ISNUMBER(SEARCH(Projekte!A$5:A$24,A34)))*(Projekte!A$5:A$24&lt;&gt;""),0),0)),"Kein Match")</f>
        <v>Kein Match</v>
      </c>
    </row>
    <row r="35" customFormat="false" ht="15" hidden="false" customHeight="false" outlineLevel="0" collapsed="false">
      <c r="A35" s="4"/>
      <c r="B35" s="4"/>
      <c r="C35" s="4"/>
      <c r="D35" s="4"/>
      <c r="E35" s="4"/>
      <c r="F35" s="13"/>
      <c r="G35" s="14" t="str">
        <f aca="false">IF(E35="","",YEAR(E35)&amp;"-"&amp;TEXT(MONTH(E35),"00"))</f>
        <v/>
      </c>
      <c r="H35" s="15" t="str">
        <f aca="false">IFERROR(INDEX(Projekte!B$5:B$24,MATCH(1,INDEX((ISNUMBER(SEARCH(Projekte!A$5:A$24,A35)))*(Projekte!A$5:A$24&lt;&gt;""),0),0)),"Kein Match")</f>
        <v>Kein Match</v>
      </c>
      <c r="I35" s="15" t="str">
        <f aca="false">IFERROR(INDEX(Projekte!A$5:A$24,MATCH(1,INDEX((ISNUMBER(SEARCH(Projekte!A$5:A$24,A35)))*(Projekte!A$5:A$24&lt;&gt;""),0),0)),"Kein Match")</f>
        <v>Kein Match</v>
      </c>
    </row>
    <row r="36" customFormat="false" ht="15" hidden="false" customHeight="false" outlineLevel="0" collapsed="false">
      <c r="A36" s="4"/>
      <c r="B36" s="4"/>
      <c r="C36" s="4"/>
      <c r="D36" s="4"/>
      <c r="E36" s="4"/>
      <c r="F36" s="13"/>
      <c r="G36" s="14" t="str">
        <f aca="false">IF(E36="","",YEAR(E36)&amp;"-"&amp;TEXT(MONTH(E36),"00"))</f>
        <v/>
      </c>
      <c r="H36" s="15" t="str">
        <f aca="false">IFERROR(INDEX(Projekte!B$5:B$24,MATCH(1,INDEX((ISNUMBER(SEARCH(Projekte!A$5:A$24,A36)))*(Projekte!A$5:A$24&lt;&gt;""),0),0)),"Kein Match")</f>
        <v>Kein Match</v>
      </c>
      <c r="I36" s="15" t="str">
        <f aca="false">IFERROR(INDEX(Projekte!A$5:A$24,MATCH(1,INDEX((ISNUMBER(SEARCH(Projekte!A$5:A$24,A36)))*(Projekte!A$5:A$24&lt;&gt;""),0),0)),"Kein Match")</f>
        <v>Kein Match</v>
      </c>
    </row>
    <row r="37" customFormat="false" ht="15" hidden="false" customHeight="false" outlineLevel="0" collapsed="false">
      <c r="A37" s="4"/>
      <c r="B37" s="4"/>
      <c r="C37" s="4"/>
      <c r="D37" s="4"/>
      <c r="E37" s="4"/>
      <c r="F37" s="13"/>
      <c r="G37" s="14" t="str">
        <f aca="false">IF(E37="","",YEAR(E37)&amp;"-"&amp;TEXT(MONTH(E37),"00"))</f>
        <v/>
      </c>
      <c r="H37" s="15" t="str">
        <f aca="false">IFERROR(INDEX(Projekte!B$5:B$24,MATCH(1,INDEX((ISNUMBER(SEARCH(Projekte!A$5:A$24,A37)))*(Projekte!A$5:A$24&lt;&gt;""),0),0)),"Kein Match")</f>
        <v>Kein Match</v>
      </c>
      <c r="I37" s="15" t="str">
        <f aca="false">IFERROR(INDEX(Projekte!A$5:A$24,MATCH(1,INDEX((ISNUMBER(SEARCH(Projekte!A$5:A$24,A37)))*(Projekte!A$5:A$24&lt;&gt;""),0),0)),"Kein Match")</f>
        <v>Kein Match</v>
      </c>
    </row>
    <row r="38" customFormat="false" ht="15" hidden="false" customHeight="false" outlineLevel="0" collapsed="false">
      <c r="A38" s="4"/>
      <c r="B38" s="4"/>
      <c r="C38" s="4"/>
      <c r="D38" s="4"/>
      <c r="E38" s="4"/>
      <c r="F38" s="13"/>
      <c r="G38" s="14" t="str">
        <f aca="false">IF(E38="","",YEAR(E38)&amp;"-"&amp;TEXT(MONTH(E38),"00"))</f>
        <v/>
      </c>
      <c r="H38" s="15" t="str">
        <f aca="false">IFERROR(INDEX(Projekte!B$5:B$24,MATCH(1,INDEX((ISNUMBER(SEARCH(Projekte!A$5:A$24,A38)))*(Projekte!A$5:A$24&lt;&gt;""),0),0)),"Kein Match")</f>
        <v>Kein Match</v>
      </c>
      <c r="I38" s="15" t="str">
        <f aca="false">IFERROR(INDEX(Projekte!A$5:A$24,MATCH(1,INDEX((ISNUMBER(SEARCH(Projekte!A$5:A$24,A38)))*(Projekte!A$5:A$24&lt;&gt;""),0),0)),"Kein Match")</f>
        <v>Kein Match</v>
      </c>
    </row>
    <row r="39" customFormat="false" ht="15" hidden="false" customHeight="false" outlineLevel="0" collapsed="false">
      <c r="A39" s="4"/>
      <c r="B39" s="4"/>
      <c r="C39" s="4"/>
      <c r="D39" s="4"/>
      <c r="E39" s="4"/>
      <c r="F39" s="13"/>
      <c r="G39" s="14" t="str">
        <f aca="false">IF(E39="","",YEAR(E39)&amp;"-"&amp;TEXT(MONTH(E39),"00"))</f>
        <v/>
      </c>
      <c r="H39" s="15" t="str">
        <f aca="false">IFERROR(INDEX(Projekte!B$5:B$24,MATCH(1,INDEX((ISNUMBER(SEARCH(Projekte!A$5:A$24,A39)))*(Projekte!A$5:A$24&lt;&gt;""),0),0)),"Kein Match")</f>
        <v>Kein Match</v>
      </c>
      <c r="I39" s="15" t="str">
        <f aca="false">IFERROR(INDEX(Projekte!A$5:A$24,MATCH(1,INDEX((ISNUMBER(SEARCH(Projekte!A$5:A$24,A39)))*(Projekte!A$5:A$24&lt;&gt;""),0),0)),"Kein Match")</f>
        <v>Kein Match</v>
      </c>
    </row>
    <row r="40" customFormat="false" ht="15" hidden="false" customHeight="false" outlineLevel="0" collapsed="false">
      <c r="A40" s="4"/>
      <c r="B40" s="4"/>
      <c r="C40" s="4"/>
      <c r="D40" s="4"/>
      <c r="E40" s="4"/>
      <c r="F40" s="13"/>
      <c r="G40" s="14" t="str">
        <f aca="false">IF(E40="","",YEAR(E40)&amp;"-"&amp;TEXT(MONTH(E40),"00"))</f>
        <v/>
      </c>
      <c r="H40" s="15" t="str">
        <f aca="false">IFERROR(INDEX(Projekte!B$5:B$24,MATCH(1,INDEX((ISNUMBER(SEARCH(Projekte!A$5:A$24,A40)))*(Projekte!A$5:A$24&lt;&gt;""),0),0)),"Kein Match")</f>
        <v>Kein Match</v>
      </c>
      <c r="I40" s="15" t="str">
        <f aca="false">IFERROR(INDEX(Projekte!A$5:A$24,MATCH(1,INDEX((ISNUMBER(SEARCH(Projekte!A$5:A$24,A40)))*(Projekte!A$5:A$24&lt;&gt;""),0),0)),"Kein Match")</f>
        <v>Kein Match</v>
      </c>
    </row>
    <row r="41" customFormat="false" ht="15" hidden="false" customHeight="false" outlineLevel="0" collapsed="false">
      <c r="A41" s="4"/>
      <c r="B41" s="4"/>
      <c r="C41" s="4"/>
      <c r="D41" s="4"/>
      <c r="E41" s="4"/>
      <c r="F41" s="13"/>
      <c r="G41" s="14" t="str">
        <f aca="false">IF(E41="","",YEAR(E41)&amp;"-"&amp;TEXT(MONTH(E41),"00"))</f>
        <v/>
      </c>
      <c r="H41" s="15" t="str">
        <f aca="false">IFERROR(INDEX(Projekte!B$5:B$24,MATCH(1,INDEX((ISNUMBER(SEARCH(Projekte!A$5:A$24,A41)))*(Projekte!A$5:A$24&lt;&gt;""),0),0)),"Kein Match")</f>
        <v>Kein Match</v>
      </c>
      <c r="I41" s="15" t="str">
        <f aca="false">IFERROR(INDEX(Projekte!A$5:A$24,MATCH(1,INDEX((ISNUMBER(SEARCH(Projekte!A$5:A$24,A41)))*(Projekte!A$5:A$24&lt;&gt;""),0),0)),"Kein Match")</f>
        <v>Kein Match</v>
      </c>
    </row>
    <row r="42" customFormat="false" ht="15" hidden="false" customHeight="false" outlineLevel="0" collapsed="false">
      <c r="A42" s="4"/>
      <c r="B42" s="4"/>
      <c r="C42" s="4"/>
      <c r="D42" s="4"/>
      <c r="E42" s="4"/>
      <c r="F42" s="13"/>
      <c r="G42" s="14" t="str">
        <f aca="false">IF(E42="","",YEAR(E42)&amp;"-"&amp;TEXT(MONTH(E42),"00"))</f>
        <v/>
      </c>
      <c r="H42" s="15" t="str">
        <f aca="false">IFERROR(INDEX(Projekte!B$5:B$24,MATCH(1,INDEX((ISNUMBER(SEARCH(Projekte!A$5:A$24,A42)))*(Projekte!A$5:A$24&lt;&gt;""),0),0)),"Kein Match")</f>
        <v>Kein Match</v>
      </c>
      <c r="I42" s="15" t="str">
        <f aca="false">IFERROR(INDEX(Projekte!A$5:A$24,MATCH(1,INDEX((ISNUMBER(SEARCH(Projekte!A$5:A$24,A42)))*(Projekte!A$5:A$24&lt;&gt;""),0),0)),"Kein Match")</f>
        <v>Kein Match</v>
      </c>
    </row>
    <row r="43" customFormat="false" ht="15" hidden="false" customHeight="false" outlineLevel="0" collapsed="false">
      <c r="A43" s="4"/>
      <c r="B43" s="4"/>
      <c r="C43" s="4"/>
      <c r="D43" s="4"/>
      <c r="E43" s="4"/>
      <c r="F43" s="13"/>
      <c r="G43" s="14" t="str">
        <f aca="false">IF(E43="","",YEAR(E43)&amp;"-"&amp;TEXT(MONTH(E43),"00"))</f>
        <v/>
      </c>
      <c r="H43" s="15" t="str">
        <f aca="false">IFERROR(INDEX(Projekte!B$5:B$24,MATCH(1,INDEX((ISNUMBER(SEARCH(Projekte!A$5:A$24,A43)))*(Projekte!A$5:A$24&lt;&gt;""),0),0)),"Kein Match")</f>
        <v>Kein Match</v>
      </c>
      <c r="I43" s="15" t="str">
        <f aca="false">IFERROR(INDEX(Projekte!A$5:A$24,MATCH(1,INDEX((ISNUMBER(SEARCH(Projekte!A$5:A$24,A43)))*(Projekte!A$5:A$24&lt;&gt;""),0),0)),"Kein Match")</f>
        <v>Kein Match</v>
      </c>
    </row>
    <row r="44" customFormat="false" ht="15" hidden="false" customHeight="false" outlineLevel="0" collapsed="false">
      <c r="A44" s="4"/>
      <c r="B44" s="4"/>
      <c r="C44" s="4"/>
      <c r="D44" s="4"/>
      <c r="E44" s="4"/>
      <c r="F44" s="13"/>
      <c r="G44" s="14" t="str">
        <f aca="false">IF(E44="","",YEAR(E44)&amp;"-"&amp;TEXT(MONTH(E44),"00"))</f>
        <v/>
      </c>
      <c r="H44" s="15" t="str">
        <f aca="false">IFERROR(INDEX(Projekte!B$5:B$24,MATCH(1,INDEX((ISNUMBER(SEARCH(Projekte!A$5:A$24,A44)))*(Projekte!A$5:A$24&lt;&gt;""),0),0)),"Kein Match")</f>
        <v>Kein Match</v>
      </c>
      <c r="I44" s="15" t="str">
        <f aca="false">IFERROR(INDEX(Projekte!A$5:A$24,MATCH(1,INDEX((ISNUMBER(SEARCH(Projekte!A$5:A$24,A44)))*(Projekte!A$5:A$24&lt;&gt;""),0),0)),"Kein Match")</f>
        <v>Kein Match</v>
      </c>
    </row>
    <row r="45" customFormat="false" ht="15" hidden="false" customHeight="false" outlineLevel="0" collapsed="false">
      <c r="A45" s="4"/>
      <c r="B45" s="4"/>
      <c r="C45" s="4"/>
      <c r="D45" s="4"/>
      <c r="E45" s="4"/>
      <c r="F45" s="13"/>
      <c r="G45" s="14" t="str">
        <f aca="false">IF(E45="","",YEAR(E45)&amp;"-"&amp;TEXT(MONTH(E45),"00"))</f>
        <v/>
      </c>
      <c r="H45" s="15" t="str">
        <f aca="false">IFERROR(INDEX(Projekte!B$5:B$24,MATCH(1,INDEX((ISNUMBER(SEARCH(Projekte!A$5:A$24,A45)))*(Projekte!A$5:A$24&lt;&gt;""),0),0)),"Kein Match")</f>
        <v>Kein Match</v>
      </c>
      <c r="I45" s="15" t="str">
        <f aca="false">IFERROR(INDEX(Projekte!A$5:A$24,MATCH(1,INDEX((ISNUMBER(SEARCH(Projekte!A$5:A$24,A45)))*(Projekte!A$5:A$24&lt;&gt;""),0),0)),"Kein Match")</f>
        <v>Kein Match</v>
      </c>
    </row>
    <row r="46" customFormat="false" ht="15" hidden="false" customHeight="false" outlineLevel="0" collapsed="false">
      <c r="A46" s="4"/>
      <c r="B46" s="4"/>
      <c r="C46" s="4"/>
      <c r="D46" s="4"/>
      <c r="E46" s="4"/>
      <c r="F46" s="13"/>
      <c r="G46" s="14" t="str">
        <f aca="false">IF(E46="","",YEAR(E46)&amp;"-"&amp;TEXT(MONTH(E46),"00"))</f>
        <v/>
      </c>
      <c r="H46" s="15" t="str">
        <f aca="false">IFERROR(INDEX(Projekte!B$5:B$24,MATCH(1,INDEX((ISNUMBER(SEARCH(Projekte!A$5:A$24,A46)))*(Projekte!A$5:A$24&lt;&gt;""),0),0)),"Kein Match")</f>
        <v>Kein Match</v>
      </c>
      <c r="I46" s="15" t="str">
        <f aca="false">IFERROR(INDEX(Projekte!A$5:A$24,MATCH(1,INDEX((ISNUMBER(SEARCH(Projekte!A$5:A$24,A46)))*(Projekte!A$5:A$24&lt;&gt;""),0),0)),"Kein Match")</f>
        <v>Kein Match</v>
      </c>
    </row>
    <row r="47" customFormat="false" ht="15" hidden="false" customHeight="false" outlineLevel="0" collapsed="false">
      <c r="A47" s="4"/>
      <c r="B47" s="4"/>
      <c r="C47" s="4"/>
      <c r="D47" s="4"/>
      <c r="E47" s="4"/>
      <c r="F47" s="13"/>
      <c r="G47" s="14" t="str">
        <f aca="false">IF(E47="","",YEAR(E47)&amp;"-"&amp;TEXT(MONTH(E47),"00"))</f>
        <v/>
      </c>
      <c r="H47" s="15" t="str">
        <f aca="false">IFERROR(INDEX(Projekte!B$5:B$24,MATCH(1,INDEX((ISNUMBER(SEARCH(Projekte!A$5:A$24,A47)))*(Projekte!A$5:A$24&lt;&gt;""),0),0)),"Kein Match")</f>
        <v>Kein Match</v>
      </c>
      <c r="I47" s="15" t="str">
        <f aca="false">IFERROR(INDEX(Projekte!A$5:A$24,MATCH(1,INDEX((ISNUMBER(SEARCH(Projekte!A$5:A$24,A47)))*(Projekte!A$5:A$24&lt;&gt;""),0),0)),"Kein Match")</f>
        <v>Kein Match</v>
      </c>
    </row>
    <row r="48" customFormat="false" ht="15" hidden="false" customHeight="false" outlineLevel="0" collapsed="false">
      <c r="A48" s="4"/>
      <c r="B48" s="4"/>
      <c r="C48" s="4"/>
      <c r="D48" s="4"/>
      <c r="E48" s="4"/>
      <c r="F48" s="13"/>
      <c r="G48" s="14" t="str">
        <f aca="false">IF(E48="","",YEAR(E48)&amp;"-"&amp;TEXT(MONTH(E48),"00"))</f>
        <v/>
      </c>
      <c r="H48" s="15" t="str">
        <f aca="false">IFERROR(INDEX(Projekte!B$5:B$24,MATCH(1,INDEX((ISNUMBER(SEARCH(Projekte!A$5:A$24,A48)))*(Projekte!A$5:A$24&lt;&gt;""),0),0)),"Kein Match")</f>
        <v>Kein Match</v>
      </c>
      <c r="I48" s="15" t="str">
        <f aca="false">IFERROR(INDEX(Projekte!A$5:A$24,MATCH(1,INDEX((ISNUMBER(SEARCH(Projekte!A$5:A$24,A48)))*(Projekte!A$5:A$24&lt;&gt;""),0),0)),"Kein Match")</f>
        <v>Kein Match</v>
      </c>
    </row>
    <row r="49" customFormat="false" ht="15" hidden="false" customHeight="false" outlineLevel="0" collapsed="false">
      <c r="A49" s="4"/>
      <c r="B49" s="4"/>
      <c r="C49" s="4"/>
      <c r="D49" s="4"/>
      <c r="E49" s="4"/>
      <c r="F49" s="13"/>
      <c r="G49" s="14" t="str">
        <f aca="false">IF(E49="","",YEAR(E49)&amp;"-"&amp;TEXT(MONTH(E49),"00"))</f>
        <v/>
      </c>
      <c r="H49" s="15" t="str">
        <f aca="false">IFERROR(INDEX(Projekte!B$5:B$24,MATCH(1,INDEX((ISNUMBER(SEARCH(Projekte!A$5:A$24,A49)))*(Projekte!A$5:A$24&lt;&gt;""),0),0)),"Kein Match")</f>
        <v>Kein Match</v>
      </c>
      <c r="I49" s="15" t="str">
        <f aca="false">IFERROR(INDEX(Projekte!A$5:A$24,MATCH(1,INDEX((ISNUMBER(SEARCH(Projekte!A$5:A$24,A49)))*(Projekte!A$5:A$24&lt;&gt;""),0),0)),"Kein Match")</f>
        <v>Kein Match</v>
      </c>
    </row>
    <row r="50" customFormat="false" ht="15" hidden="false" customHeight="false" outlineLevel="0" collapsed="false">
      <c r="A50" s="4"/>
      <c r="B50" s="4"/>
      <c r="C50" s="4"/>
      <c r="D50" s="4"/>
      <c r="E50" s="4"/>
      <c r="F50" s="13"/>
      <c r="G50" s="14" t="str">
        <f aca="false">IF(E50="","",YEAR(E50)&amp;"-"&amp;TEXT(MONTH(E50),"00"))</f>
        <v/>
      </c>
      <c r="H50" s="15" t="str">
        <f aca="false">IFERROR(INDEX(Projekte!B$5:B$24,MATCH(1,INDEX((ISNUMBER(SEARCH(Projekte!A$5:A$24,A50)))*(Projekte!A$5:A$24&lt;&gt;""),0),0)),"Kein Match")</f>
        <v>Kein Match</v>
      </c>
      <c r="I50" s="15" t="str">
        <f aca="false">IFERROR(INDEX(Projekte!A$5:A$24,MATCH(1,INDEX((ISNUMBER(SEARCH(Projekte!A$5:A$24,A50)))*(Projekte!A$5:A$24&lt;&gt;""),0),0)),"Kein Match")</f>
        <v>Kein Match</v>
      </c>
    </row>
    <row r="51" customFormat="false" ht="15" hidden="false" customHeight="false" outlineLevel="0" collapsed="false">
      <c r="A51" s="4"/>
      <c r="B51" s="4"/>
      <c r="C51" s="4"/>
      <c r="D51" s="4"/>
      <c r="E51" s="4"/>
      <c r="F51" s="13"/>
      <c r="G51" s="14" t="str">
        <f aca="false">IF(E51="","",YEAR(E51)&amp;"-"&amp;TEXT(MONTH(E51),"00"))</f>
        <v/>
      </c>
      <c r="H51" s="15" t="str">
        <f aca="false">IFERROR(INDEX(Projekte!B$5:B$24,MATCH(1,INDEX((ISNUMBER(SEARCH(Projekte!A$5:A$24,A51)))*(Projekte!A$5:A$24&lt;&gt;""),0),0)),"Kein Match")</f>
        <v>Kein Match</v>
      </c>
      <c r="I51" s="15" t="str">
        <f aca="false">IFERROR(INDEX(Projekte!A$5:A$24,MATCH(1,INDEX((ISNUMBER(SEARCH(Projekte!A$5:A$24,A51)))*(Projekte!A$5:A$24&lt;&gt;""),0),0)),"Kein Match")</f>
        <v>Kein Match</v>
      </c>
    </row>
    <row r="52" customFormat="false" ht="15" hidden="false" customHeight="false" outlineLevel="0" collapsed="false">
      <c r="A52" s="4"/>
      <c r="B52" s="4"/>
      <c r="C52" s="4"/>
      <c r="D52" s="4"/>
      <c r="E52" s="4"/>
      <c r="F52" s="13"/>
      <c r="G52" s="14" t="str">
        <f aca="false">IF(E52="","",YEAR(E52)&amp;"-"&amp;TEXT(MONTH(E52),"00"))</f>
        <v/>
      </c>
      <c r="H52" s="15" t="str">
        <f aca="false">IFERROR(INDEX(Projekte!B$5:B$24,MATCH(1,INDEX((ISNUMBER(SEARCH(Projekte!A$5:A$24,A52)))*(Projekte!A$5:A$24&lt;&gt;""),0),0)),"Kein Match")</f>
        <v>Kein Match</v>
      </c>
      <c r="I52" s="15" t="str">
        <f aca="false">IFERROR(INDEX(Projekte!A$5:A$24,MATCH(1,INDEX((ISNUMBER(SEARCH(Projekte!A$5:A$24,A52)))*(Projekte!A$5:A$24&lt;&gt;""),0),0)),"Kein Match")</f>
        <v>Kein Match</v>
      </c>
    </row>
    <row r="53" customFormat="false" ht="15" hidden="false" customHeight="false" outlineLevel="0" collapsed="false">
      <c r="A53" s="4"/>
      <c r="B53" s="4"/>
      <c r="C53" s="4"/>
      <c r="D53" s="4"/>
      <c r="E53" s="4"/>
      <c r="F53" s="13"/>
      <c r="G53" s="14" t="str">
        <f aca="false">IF(E53="","",YEAR(E53)&amp;"-"&amp;TEXT(MONTH(E53),"00"))</f>
        <v/>
      </c>
      <c r="H53" s="15" t="str">
        <f aca="false">IFERROR(INDEX(Projekte!B$5:B$24,MATCH(1,INDEX((ISNUMBER(SEARCH(Projekte!A$5:A$24,A53)))*(Projekte!A$5:A$24&lt;&gt;""),0),0)),"Kein Match")</f>
        <v>Kein Match</v>
      </c>
      <c r="I53" s="15" t="str">
        <f aca="false">IFERROR(INDEX(Projekte!A$5:A$24,MATCH(1,INDEX((ISNUMBER(SEARCH(Projekte!A$5:A$24,A53)))*(Projekte!A$5:A$24&lt;&gt;""),0),0)),"Kein Match")</f>
        <v>Kein Match</v>
      </c>
    </row>
    <row r="54" customFormat="false" ht="15" hidden="false" customHeight="false" outlineLevel="0" collapsed="false">
      <c r="A54" s="4"/>
      <c r="B54" s="4"/>
      <c r="C54" s="4"/>
      <c r="D54" s="4"/>
      <c r="E54" s="4"/>
      <c r="F54" s="13"/>
      <c r="G54" s="14" t="str">
        <f aca="false">IF(E54="","",YEAR(E54)&amp;"-"&amp;TEXT(MONTH(E54),"00"))</f>
        <v/>
      </c>
      <c r="H54" s="15" t="str">
        <f aca="false">IFERROR(INDEX(Projekte!B$5:B$24,MATCH(1,INDEX((ISNUMBER(SEARCH(Projekte!A$5:A$24,A54)))*(Projekte!A$5:A$24&lt;&gt;""),0),0)),"Kein Match")</f>
        <v>Kein Match</v>
      </c>
      <c r="I54" s="15" t="str">
        <f aca="false">IFERROR(INDEX(Projekte!A$5:A$24,MATCH(1,INDEX((ISNUMBER(SEARCH(Projekte!A$5:A$24,A54)))*(Projekte!A$5:A$24&lt;&gt;""),0),0)),"Kein Match")</f>
        <v>Kein Match</v>
      </c>
    </row>
    <row r="55" customFormat="false" ht="15" hidden="false" customHeight="false" outlineLevel="0" collapsed="false">
      <c r="A55" s="4"/>
      <c r="B55" s="4"/>
      <c r="C55" s="4"/>
      <c r="D55" s="4"/>
      <c r="E55" s="4"/>
      <c r="F55" s="13"/>
      <c r="G55" s="14" t="str">
        <f aca="false">IF(E55="","",YEAR(E55)&amp;"-"&amp;TEXT(MONTH(E55),"00"))</f>
        <v/>
      </c>
      <c r="H55" s="15" t="str">
        <f aca="false">IFERROR(INDEX(Projekte!B$5:B$24,MATCH(1,INDEX((ISNUMBER(SEARCH(Projekte!A$5:A$24,A55)))*(Projekte!A$5:A$24&lt;&gt;""),0),0)),"Kein Match")</f>
        <v>Kein Match</v>
      </c>
      <c r="I55" s="15" t="str">
        <f aca="false">IFERROR(INDEX(Projekte!A$5:A$24,MATCH(1,INDEX((ISNUMBER(SEARCH(Projekte!A$5:A$24,A55)))*(Projekte!A$5:A$24&lt;&gt;""),0),0)),"Kein Match")</f>
        <v>Kein Match</v>
      </c>
    </row>
    <row r="56" customFormat="false" ht="15" hidden="false" customHeight="false" outlineLevel="0" collapsed="false">
      <c r="A56" s="4"/>
      <c r="B56" s="4"/>
      <c r="C56" s="4"/>
      <c r="D56" s="4"/>
      <c r="E56" s="4"/>
      <c r="F56" s="13"/>
      <c r="G56" s="14" t="str">
        <f aca="false">IF(E56="","",YEAR(E56)&amp;"-"&amp;TEXT(MONTH(E56),"00"))</f>
        <v/>
      </c>
      <c r="H56" s="15" t="str">
        <f aca="false">IFERROR(INDEX(Projekte!B$5:B$24,MATCH(1,INDEX((ISNUMBER(SEARCH(Projekte!A$5:A$24,A56)))*(Projekte!A$5:A$24&lt;&gt;""),0),0)),"Kein Match")</f>
        <v>Kein Match</v>
      </c>
      <c r="I56" s="15" t="str">
        <f aca="false">IFERROR(INDEX(Projekte!A$5:A$24,MATCH(1,INDEX((ISNUMBER(SEARCH(Projekte!A$5:A$24,A56)))*(Projekte!A$5:A$24&lt;&gt;""),0),0)),"Kein Match")</f>
        <v>Kein Match</v>
      </c>
    </row>
    <row r="57" customFormat="false" ht="15" hidden="false" customHeight="false" outlineLevel="0" collapsed="false">
      <c r="A57" s="4"/>
      <c r="B57" s="4"/>
      <c r="C57" s="4"/>
      <c r="D57" s="4"/>
      <c r="E57" s="4"/>
      <c r="F57" s="13"/>
      <c r="G57" s="14" t="str">
        <f aca="false">IF(E57="","",YEAR(E57)&amp;"-"&amp;TEXT(MONTH(E57),"00"))</f>
        <v/>
      </c>
      <c r="H57" s="15" t="str">
        <f aca="false">IFERROR(INDEX(Projekte!B$5:B$24,MATCH(1,INDEX((ISNUMBER(SEARCH(Projekte!A$5:A$24,A57)))*(Projekte!A$5:A$24&lt;&gt;""),0),0)),"Kein Match")</f>
        <v>Kein Match</v>
      </c>
      <c r="I57" s="15" t="str">
        <f aca="false">IFERROR(INDEX(Projekte!A$5:A$24,MATCH(1,INDEX((ISNUMBER(SEARCH(Projekte!A$5:A$24,A57)))*(Projekte!A$5:A$24&lt;&gt;""),0),0)),"Kein Match")</f>
        <v>Kein Match</v>
      </c>
    </row>
    <row r="58" customFormat="false" ht="15" hidden="false" customHeight="false" outlineLevel="0" collapsed="false">
      <c r="A58" s="4"/>
      <c r="B58" s="4"/>
      <c r="C58" s="4"/>
      <c r="D58" s="4"/>
      <c r="E58" s="4"/>
      <c r="F58" s="13"/>
      <c r="G58" s="14" t="str">
        <f aca="false">IF(E58="","",YEAR(E58)&amp;"-"&amp;TEXT(MONTH(E58),"00"))</f>
        <v/>
      </c>
      <c r="H58" s="15" t="str">
        <f aca="false">IFERROR(INDEX(Projekte!B$5:B$24,MATCH(1,INDEX((ISNUMBER(SEARCH(Projekte!A$5:A$24,A58)))*(Projekte!A$5:A$24&lt;&gt;""),0),0)),"Kein Match")</f>
        <v>Kein Match</v>
      </c>
      <c r="I58" s="15" t="str">
        <f aca="false">IFERROR(INDEX(Projekte!A$5:A$24,MATCH(1,INDEX((ISNUMBER(SEARCH(Projekte!A$5:A$24,A58)))*(Projekte!A$5:A$24&lt;&gt;""),0),0)),"Kein Match")</f>
        <v>Kein Match</v>
      </c>
    </row>
    <row r="59" customFormat="false" ht="15" hidden="false" customHeight="false" outlineLevel="0" collapsed="false">
      <c r="A59" s="4"/>
      <c r="B59" s="4"/>
      <c r="C59" s="4"/>
      <c r="D59" s="4"/>
      <c r="E59" s="4"/>
      <c r="F59" s="13"/>
      <c r="G59" s="14" t="str">
        <f aca="false">IF(E59="","",YEAR(E59)&amp;"-"&amp;TEXT(MONTH(E59),"00"))</f>
        <v/>
      </c>
      <c r="H59" s="15" t="str">
        <f aca="false">IFERROR(INDEX(Projekte!B$5:B$24,MATCH(1,INDEX((ISNUMBER(SEARCH(Projekte!A$5:A$24,A59)))*(Projekte!A$5:A$24&lt;&gt;""),0),0)),"Kein Match")</f>
        <v>Kein Match</v>
      </c>
      <c r="I59" s="15" t="str">
        <f aca="false">IFERROR(INDEX(Projekte!A$5:A$24,MATCH(1,INDEX((ISNUMBER(SEARCH(Projekte!A$5:A$24,A59)))*(Projekte!A$5:A$24&lt;&gt;""),0),0)),"Kein Match")</f>
        <v>Kein Match</v>
      </c>
    </row>
    <row r="60" customFormat="false" ht="15" hidden="false" customHeight="false" outlineLevel="0" collapsed="false">
      <c r="A60" s="4"/>
      <c r="B60" s="4"/>
      <c r="C60" s="4"/>
      <c r="D60" s="4"/>
      <c r="E60" s="4"/>
      <c r="F60" s="13"/>
      <c r="G60" s="14" t="str">
        <f aca="false">IF(E60="","",YEAR(E60)&amp;"-"&amp;TEXT(MONTH(E60),"00"))</f>
        <v/>
      </c>
      <c r="H60" s="15" t="str">
        <f aca="false">IFERROR(INDEX(Projekte!B$5:B$24,MATCH(1,INDEX((ISNUMBER(SEARCH(Projekte!A$5:A$24,A60)))*(Projekte!A$5:A$24&lt;&gt;""),0),0)),"Kein Match")</f>
        <v>Kein Match</v>
      </c>
      <c r="I60" s="15" t="str">
        <f aca="false">IFERROR(INDEX(Projekte!A$5:A$24,MATCH(1,INDEX((ISNUMBER(SEARCH(Projekte!A$5:A$24,A60)))*(Projekte!A$5:A$24&lt;&gt;""),0),0)),"Kein Match")</f>
        <v>Kein Match</v>
      </c>
    </row>
    <row r="61" customFormat="false" ht="15" hidden="false" customHeight="false" outlineLevel="0" collapsed="false">
      <c r="A61" s="4"/>
      <c r="B61" s="4"/>
      <c r="C61" s="4"/>
      <c r="D61" s="4"/>
      <c r="E61" s="4"/>
      <c r="F61" s="13"/>
      <c r="G61" s="14" t="str">
        <f aca="false">IF(E61="","",YEAR(E61)&amp;"-"&amp;TEXT(MONTH(E61),"00"))</f>
        <v/>
      </c>
      <c r="H61" s="15" t="str">
        <f aca="false">IFERROR(INDEX(Projekte!B$5:B$24,MATCH(1,INDEX((ISNUMBER(SEARCH(Projekte!A$5:A$24,A61)))*(Projekte!A$5:A$24&lt;&gt;""),0),0)),"Kein Match")</f>
        <v>Kein Match</v>
      </c>
      <c r="I61" s="15" t="str">
        <f aca="false">IFERROR(INDEX(Projekte!A$5:A$24,MATCH(1,INDEX((ISNUMBER(SEARCH(Projekte!A$5:A$24,A61)))*(Projekte!A$5:A$24&lt;&gt;""),0),0)),"Kein Match")</f>
        <v>Kein Match</v>
      </c>
    </row>
    <row r="62" customFormat="false" ht="15" hidden="false" customHeight="false" outlineLevel="0" collapsed="false">
      <c r="A62" s="4"/>
      <c r="B62" s="4"/>
      <c r="C62" s="4"/>
      <c r="D62" s="4"/>
      <c r="E62" s="4"/>
      <c r="F62" s="13"/>
      <c r="G62" s="14" t="str">
        <f aca="false">IF(E62="","",YEAR(E62)&amp;"-"&amp;TEXT(MONTH(E62),"00"))</f>
        <v/>
      </c>
      <c r="H62" s="15" t="str">
        <f aca="false">IFERROR(INDEX(Projekte!B$5:B$24,MATCH(1,INDEX((ISNUMBER(SEARCH(Projekte!A$5:A$24,A62)))*(Projekte!A$5:A$24&lt;&gt;""),0),0)),"Kein Match")</f>
        <v>Kein Match</v>
      </c>
      <c r="I62" s="15" t="str">
        <f aca="false">IFERROR(INDEX(Projekte!A$5:A$24,MATCH(1,INDEX((ISNUMBER(SEARCH(Projekte!A$5:A$24,A62)))*(Projekte!A$5:A$24&lt;&gt;""),0),0)),"Kein Match")</f>
        <v>Kein Match</v>
      </c>
    </row>
    <row r="63" customFormat="false" ht="15" hidden="false" customHeight="false" outlineLevel="0" collapsed="false">
      <c r="A63" s="4"/>
      <c r="B63" s="4"/>
      <c r="C63" s="4"/>
      <c r="D63" s="4"/>
      <c r="E63" s="4"/>
      <c r="F63" s="13"/>
      <c r="G63" s="14" t="str">
        <f aca="false">IF(E63="","",YEAR(E63)&amp;"-"&amp;TEXT(MONTH(E63),"00"))</f>
        <v/>
      </c>
      <c r="H63" s="15" t="str">
        <f aca="false">IFERROR(INDEX(Projekte!B$5:B$24,MATCH(1,INDEX((ISNUMBER(SEARCH(Projekte!A$5:A$24,A63)))*(Projekte!A$5:A$24&lt;&gt;""),0),0)),"Kein Match")</f>
        <v>Kein Match</v>
      </c>
      <c r="I63" s="15" t="str">
        <f aca="false">IFERROR(INDEX(Projekte!A$5:A$24,MATCH(1,INDEX((ISNUMBER(SEARCH(Projekte!A$5:A$24,A63)))*(Projekte!A$5:A$24&lt;&gt;""),0),0)),"Kein Match")</f>
        <v>Kein Match</v>
      </c>
    </row>
    <row r="64" customFormat="false" ht="15" hidden="false" customHeight="false" outlineLevel="0" collapsed="false">
      <c r="A64" s="4"/>
      <c r="B64" s="4"/>
      <c r="C64" s="4"/>
      <c r="D64" s="4"/>
      <c r="E64" s="4"/>
      <c r="F64" s="13"/>
      <c r="G64" s="14" t="str">
        <f aca="false">IF(E64="","",YEAR(E64)&amp;"-"&amp;TEXT(MONTH(E64),"00"))</f>
        <v/>
      </c>
      <c r="H64" s="15" t="str">
        <f aca="false">IFERROR(INDEX(Projekte!B$5:B$24,MATCH(1,INDEX((ISNUMBER(SEARCH(Projekte!A$5:A$24,A64)))*(Projekte!A$5:A$24&lt;&gt;""),0),0)),"Kein Match")</f>
        <v>Kein Match</v>
      </c>
      <c r="I64" s="15" t="str">
        <f aca="false">IFERROR(INDEX(Projekte!A$5:A$24,MATCH(1,INDEX((ISNUMBER(SEARCH(Projekte!A$5:A$24,A64)))*(Projekte!A$5:A$24&lt;&gt;""),0),0)),"Kein Match")</f>
        <v>Kein Match</v>
      </c>
    </row>
    <row r="65" customFormat="false" ht="15" hidden="false" customHeight="false" outlineLevel="0" collapsed="false">
      <c r="A65" s="4"/>
      <c r="B65" s="4"/>
      <c r="C65" s="4"/>
      <c r="D65" s="4"/>
      <c r="E65" s="4"/>
      <c r="F65" s="13"/>
      <c r="G65" s="14" t="str">
        <f aca="false">IF(E65="","",YEAR(E65)&amp;"-"&amp;TEXT(MONTH(E65),"00"))</f>
        <v/>
      </c>
      <c r="H65" s="15" t="str">
        <f aca="false">IFERROR(INDEX(Projekte!B$5:B$24,MATCH(1,INDEX((ISNUMBER(SEARCH(Projekte!A$5:A$24,A65)))*(Projekte!A$5:A$24&lt;&gt;""),0),0)),"Kein Match")</f>
        <v>Kein Match</v>
      </c>
      <c r="I65" s="15" t="str">
        <f aca="false">IFERROR(INDEX(Projekte!A$5:A$24,MATCH(1,INDEX((ISNUMBER(SEARCH(Projekte!A$5:A$24,A65)))*(Projekte!A$5:A$24&lt;&gt;""),0),0)),"Kein Match")</f>
        <v>Kein Match</v>
      </c>
    </row>
    <row r="66" customFormat="false" ht="15" hidden="false" customHeight="false" outlineLevel="0" collapsed="false">
      <c r="A66" s="4"/>
      <c r="B66" s="4"/>
      <c r="C66" s="4"/>
      <c r="D66" s="4"/>
      <c r="E66" s="4"/>
      <c r="F66" s="13"/>
      <c r="G66" s="14" t="str">
        <f aca="false">IF(E66="","",YEAR(E66)&amp;"-"&amp;TEXT(MONTH(E66),"00"))</f>
        <v/>
      </c>
      <c r="H66" s="15" t="str">
        <f aca="false">IFERROR(INDEX(Projekte!B$5:B$24,MATCH(1,INDEX((ISNUMBER(SEARCH(Projekte!A$5:A$24,A66)))*(Projekte!A$5:A$24&lt;&gt;""),0),0)),"Kein Match")</f>
        <v>Kein Match</v>
      </c>
      <c r="I66" s="15" t="str">
        <f aca="false">IFERROR(INDEX(Projekte!A$5:A$24,MATCH(1,INDEX((ISNUMBER(SEARCH(Projekte!A$5:A$24,A66)))*(Projekte!A$5:A$24&lt;&gt;""),0),0)),"Kein Match")</f>
        <v>Kein Match</v>
      </c>
    </row>
    <row r="67" customFormat="false" ht="15" hidden="false" customHeight="false" outlineLevel="0" collapsed="false">
      <c r="A67" s="4"/>
      <c r="B67" s="4"/>
      <c r="C67" s="4"/>
      <c r="D67" s="4"/>
      <c r="E67" s="4"/>
      <c r="F67" s="13"/>
      <c r="G67" s="14" t="str">
        <f aca="false">IF(E67="","",YEAR(E67)&amp;"-"&amp;TEXT(MONTH(E67),"00"))</f>
        <v/>
      </c>
      <c r="H67" s="15" t="str">
        <f aca="false">IFERROR(INDEX(Projekte!B$5:B$24,MATCH(1,INDEX((ISNUMBER(SEARCH(Projekte!A$5:A$24,A67)))*(Projekte!A$5:A$24&lt;&gt;""),0),0)),"Kein Match")</f>
        <v>Kein Match</v>
      </c>
      <c r="I67" s="15" t="str">
        <f aca="false">IFERROR(INDEX(Projekte!A$5:A$24,MATCH(1,INDEX((ISNUMBER(SEARCH(Projekte!A$5:A$24,A67)))*(Projekte!A$5:A$24&lt;&gt;""),0),0)),"Kein Match")</f>
        <v>Kein Match</v>
      </c>
    </row>
    <row r="68" customFormat="false" ht="15" hidden="false" customHeight="false" outlineLevel="0" collapsed="false">
      <c r="A68" s="4"/>
      <c r="B68" s="4"/>
      <c r="C68" s="4"/>
      <c r="D68" s="4"/>
      <c r="E68" s="4"/>
      <c r="F68" s="13"/>
      <c r="G68" s="14" t="str">
        <f aca="false">IF(E68="","",YEAR(E68)&amp;"-"&amp;TEXT(MONTH(E68),"00"))</f>
        <v/>
      </c>
      <c r="H68" s="15" t="str">
        <f aca="false">IFERROR(INDEX(Projekte!B$5:B$24,MATCH(1,INDEX((ISNUMBER(SEARCH(Projekte!A$5:A$24,A68)))*(Projekte!A$5:A$24&lt;&gt;""),0),0)),"Kein Match")</f>
        <v>Kein Match</v>
      </c>
      <c r="I68" s="15" t="str">
        <f aca="false">IFERROR(INDEX(Projekte!A$5:A$24,MATCH(1,INDEX((ISNUMBER(SEARCH(Projekte!A$5:A$24,A68)))*(Projekte!A$5:A$24&lt;&gt;""),0),0)),"Kein Match")</f>
        <v>Kein Match</v>
      </c>
    </row>
    <row r="69" customFormat="false" ht="15" hidden="false" customHeight="false" outlineLevel="0" collapsed="false">
      <c r="A69" s="4"/>
      <c r="B69" s="4"/>
      <c r="C69" s="4"/>
      <c r="D69" s="4"/>
      <c r="E69" s="4"/>
      <c r="F69" s="13"/>
      <c r="G69" s="14" t="str">
        <f aca="false">IF(E69="","",YEAR(E69)&amp;"-"&amp;TEXT(MONTH(E69),"00"))</f>
        <v/>
      </c>
      <c r="H69" s="15" t="str">
        <f aca="false">IFERROR(INDEX(Projekte!B$5:B$24,MATCH(1,INDEX((ISNUMBER(SEARCH(Projekte!A$5:A$24,A69)))*(Projekte!A$5:A$24&lt;&gt;""),0),0)),"Kein Match")</f>
        <v>Kein Match</v>
      </c>
      <c r="I69" s="15" t="str">
        <f aca="false">IFERROR(INDEX(Projekte!A$5:A$24,MATCH(1,INDEX((ISNUMBER(SEARCH(Projekte!A$5:A$24,A69)))*(Projekte!A$5:A$24&lt;&gt;""),0),0)),"Kein Match")</f>
        <v>Kein Match</v>
      </c>
    </row>
    <row r="70" customFormat="false" ht="15" hidden="false" customHeight="false" outlineLevel="0" collapsed="false">
      <c r="A70" s="4"/>
      <c r="B70" s="4"/>
      <c r="C70" s="4"/>
      <c r="D70" s="4"/>
      <c r="E70" s="4"/>
      <c r="F70" s="13"/>
      <c r="G70" s="14" t="str">
        <f aca="false">IF(E70="","",YEAR(E70)&amp;"-"&amp;TEXT(MONTH(E70),"00"))</f>
        <v/>
      </c>
      <c r="H70" s="15" t="str">
        <f aca="false">IFERROR(INDEX(Projekte!B$5:B$24,MATCH(1,INDEX((ISNUMBER(SEARCH(Projekte!A$5:A$24,A70)))*(Projekte!A$5:A$24&lt;&gt;""),0),0)),"Kein Match")</f>
        <v>Kein Match</v>
      </c>
      <c r="I70" s="15" t="str">
        <f aca="false">IFERROR(INDEX(Projekte!A$5:A$24,MATCH(1,INDEX((ISNUMBER(SEARCH(Projekte!A$5:A$24,A70)))*(Projekte!A$5:A$24&lt;&gt;""),0),0)),"Kein Match")</f>
        <v>Kein Match</v>
      </c>
    </row>
    <row r="71" customFormat="false" ht="15" hidden="false" customHeight="false" outlineLevel="0" collapsed="false">
      <c r="A71" s="4"/>
      <c r="B71" s="4"/>
      <c r="C71" s="4"/>
      <c r="D71" s="4"/>
      <c r="E71" s="4"/>
      <c r="F71" s="13"/>
      <c r="G71" s="14" t="str">
        <f aca="false">IF(E71="","",YEAR(E71)&amp;"-"&amp;TEXT(MONTH(E71),"00"))</f>
        <v/>
      </c>
      <c r="H71" s="15" t="str">
        <f aca="false">IFERROR(INDEX(Projekte!B$5:B$24,MATCH(1,INDEX((ISNUMBER(SEARCH(Projekte!A$5:A$24,A71)))*(Projekte!A$5:A$24&lt;&gt;""),0),0)),"Kein Match")</f>
        <v>Kein Match</v>
      </c>
      <c r="I71" s="15" t="str">
        <f aca="false">IFERROR(INDEX(Projekte!A$5:A$24,MATCH(1,INDEX((ISNUMBER(SEARCH(Projekte!A$5:A$24,A71)))*(Projekte!A$5:A$24&lt;&gt;""),0),0)),"Kein Match")</f>
        <v>Kein Match</v>
      </c>
    </row>
    <row r="72" customFormat="false" ht="15" hidden="false" customHeight="false" outlineLevel="0" collapsed="false">
      <c r="A72" s="4"/>
      <c r="B72" s="4"/>
      <c r="C72" s="4"/>
      <c r="D72" s="4"/>
      <c r="E72" s="4"/>
      <c r="F72" s="13"/>
      <c r="G72" s="14" t="str">
        <f aca="false">IF(E72="","",YEAR(E72)&amp;"-"&amp;TEXT(MONTH(E72),"00"))</f>
        <v/>
      </c>
      <c r="H72" s="15" t="str">
        <f aca="false">IFERROR(INDEX(Projekte!B$5:B$24,MATCH(1,INDEX((ISNUMBER(SEARCH(Projekte!A$5:A$24,A72)))*(Projekte!A$5:A$24&lt;&gt;""),0),0)),"Kein Match")</f>
        <v>Kein Match</v>
      </c>
      <c r="I72" s="15" t="str">
        <f aca="false">IFERROR(INDEX(Projekte!A$5:A$24,MATCH(1,INDEX((ISNUMBER(SEARCH(Projekte!A$5:A$24,A72)))*(Projekte!A$5:A$24&lt;&gt;""),0),0)),"Kein Match")</f>
        <v>Kein Match</v>
      </c>
    </row>
    <row r="73" customFormat="false" ht="15" hidden="false" customHeight="false" outlineLevel="0" collapsed="false">
      <c r="A73" s="4"/>
      <c r="B73" s="4"/>
      <c r="C73" s="4"/>
      <c r="D73" s="4"/>
      <c r="E73" s="4"/>
      <c r="F73" s="13"/>
      <c r="G73" s="14" t="str">
        <f aca="false">IF(E73="","",YEAR(E73)&amp;"-"&amp;TEXT(MONTH(E73),"00"))</f>
        <v/>
      </c>
      <c r="H73" s="15" t="str">
        <f aca="false">IFERROR(INDEX(Projekte!B$5:B$24,MATCH(1,INDEX((ISNUMBER(SEARCH(Projekte!A$5:A$24,A73)))*(Projekte!A$5:A$24&lt;&gt;""),0),0)),"Kein Match")</f>
        <v>Kein Match</v>
      </c>
      <c r="I73" s="15" t="str">
        <f aca="false">IFERROR(INDEX(Projekte!A$5:A$24,MATCH(1,INDEX((ISNUMBER(SEARCH(Projekte!A$5:A$24,A73)))*(Projekte!A$5:A$24&lt;&gt;""),0),0)),"Kein Match")</f>
        <v>Kein Match</v>
      </c>
    </row>
    <row r="74" customFormat="false" ht="15" hidden="false" customHeight="false" outlineLevel="0" collapsed="false">
      <c r="A74" s="4"/>
      <c r="B74" s="4"/>
      <c r="C74" s="4"/>
      <c r="D74" s="4"/>
      <c r="E74" s="4"/>
      <c r="F74" s="13"/>
      <c r="G74" s="14" t="str">
        <f aca="false">IF(E74="","",YEAR(E74)&amp;"-"&amp;TEXT(MONTH(E74),"00"))</f>
        <v/>
      </c>
      <c r="H74" s="15" t="str">
        <f aca="false">IFERROR(INDEX(Projekte!B$5:B$24,MATCH(1,INDEX((ISNUMBER(SEARCH(Projekte!A$5:A$24,A74)))*(Projekte!A$5:A$24&lt;&gt;""),0),0)),"Kein Match")</f>
        <v>Kein Match</v>
      </c>
      <c r="I74" s="15" t="str">
        <f aca="false">IFERROR(INDEX(Projekte!A$5:A$24,MATCH(1,INDEX((ISNUMBER(SEARCH(Projekte!A$5:A$24,A74)))*(Projekte!A$5:A$24&lt;&gt;""),0),0)),"Kein Match")</f>
        <v>Kein Match</v>
      </c>
    </row>
    <row r="75" customFormat="false" ht="15" hidden="false" customHeight="false" outlineLevel="0" collapsed="false">
      <c r="A75" s="4"/>
      <c r="B75" s="4"/>
      <c r="C75" s="4"/>
      <c r="D75" s="4"/>
      <c r="E75" s="4"/>
      <c r="F75" s="13"/>
      <c r="G75" s="14" t="str">
        <f aca="false">IF(E75="","",YEAR(E75)&amp;"-"&amp;TEXT(MONTH(E75),"00"))</f>
        <v/>
      </c>
      <c r="H75" s="15" t="str">
        <f aca="false">IFERROR(INDEX(Projekte!B$5:B$24,MATCH(1,INDEX((ISNUMBER(SEARCH(Projekte!A$5:A$24,A75)))*(Projekte!A$5:A$24&lt;&gt;""),0),0)),"Kein Match")</f>
        <v>Kein Match</v>
      </c>
      <c r="I75" s="15" t="str">
        <f aca="false">IFERROR(INDEX(Projekte!A$5:A$24,MATCH(1,INDEX((ISNUMBER(SEARCH(Projekte!A$5:A$24,A75)))*(Projekte!A$5:A$24&lt;&gt;""),0),0)),"Kein Match")</f>
        <v>Kein Match</v>
      </c>
    </row>
    <row r="76" customFormat="false" ht="15" hidden="false" customHeight="false" outlineLevel="0" collapsed="false">
      <c r="A76" s="4"/>
      <c r="B76" s="4"/>
      <c r="C76" s="4"/>
      <c r="D76" s="4"/>
      <c r="E76" s="4"/>
      <c r="F76" s="13"/>
      <c r="G76" s="14" t="str">
        <f aca="false">IF(E76="","",YEAR(E76)&amp;"-"&amp;TEXT(MONTH(E76),"00"))</f>
        <v/>
      </c>
      <c r="H76" s="15" t="str">
        <f aca="false">IFERROR(INDEX(Projekte!B$5:B$24,MATCH(1,INDEX((ISNUMBER(SEARCH(Projekte!A$5:A$24,A76)))*(Projekte!A$5:A$24&lt;&gt;""),0),0)),"Kein Match")</f>
        <v>Kein Match</v>
      </c>
      <c r="I76" s="15" t="str">
        <f aca="false">IFERROR(INDEX(Projekte!A$5:A$24,MATCH(1,INDEX((ISNUMBER(SEARCH(Projekte!A$5:A$24,A76)))*(Projekte!A$5:A$24&lt;&gt;""),0),0)),"Kein Match")</f>
        <v>Kein Match</v>
      </c>
    </row>
    <row r="77" customFormat="false" ht="15" hidden="false" customHeight="false" outlineLevel="0" collapsed="false">
      <c r="A77" s="4"/>
      <c r="B77" s="4"/>
      <c r="C77" s="4"/>
      <c r="D77" s="4"/>
      <c r="E77" s="4"/>
      <c r="F77" s="13"/>
      <c r="G77" s="14" t="str">
        <f aca="false">IF(E77="","",YEAR(E77)&amp;"-"&amp;TEXT(MONTH(E77),"00"))</f>
        <v/>
      </c>
      <c r="H77" s="15" t="str">
        <f aca="false">IFERROR(INDEX(Projekte!B$5:B$24,MATCH(1,INDEX((ISNUMBER(SEARCH(Projekte!A$5:A$24,A77)))*(Projekte!A$5:A$24&lt;&gt;""),0),0)),"Kein Match")</f>
        <v>Kein Match</v>
      </c>
      <c r="I77" s="15" t="str">
        <f aca="false">IFERROR(INDEX(Projekte!A$5:A$24,MATCH(1,INDEX((ISNUMBER(SEARCH(Projekte!A$5:A$24,A77)))*(Projekte!A$5:A$24&lt;&gt;""),0),0)),"Kein Match")</f>
        <v>Kein Match</v>
      </c>
    </row>
    <row r="78" customFormat="false" ht="15" hidden="false" customHeight="false" outlineLevel="0" collapsed="false">
      <c r="A78" s="4"/>
      <c r="B78" s="4"/>
      <c r="C78" s="4"/>
      <c r="D78" s="4"/>
      <c r="E78" s="4"/>
      <c r="F78" s="13"/>
      <c r="G78" s="14" t="str">
        <f aca="false">IF(E78="","",YEAR(E78)&amp;"-"&amp;TEXT(MONTH(E78),"00"))</f>
        <v/>
      </c>
      <c r="H78" s="15" t="str">
        <f aca="false">IFERROR(INDEX(Projekte!B$5:B$24,MATCH(1,INDEX((ISNUMBER(SEARCH(Projekte!A$5:A$24,A78)))*(Projekte!A$5:A$24&lt;&gt;""),0),0)),"Kein Match")</f>
        <v>Kein Match</v>
      </c>
      <c r="I78" s="15" t="str">
        <f aca="false">IFERROR(INDEX(Projekte!A$5:A$24,MATCH(1,INDEX((ISNUMBER(SEARCH(Projekte!A$5:A$24,A78)))*(Projekte!A$5:A$24&lt;&gt;""),0),0)),"Kein Match")</f>
        <v>Kein Match</v>
      </c>
    </row>
    <row r="79" customFormat="false" ht="15" hidden="false" customHeight="false" outlineLevel="0" collapsed="false">
      <c r="A79" s="4"/>
      <c r="B79" s="4"/>
      <c r="C79" s="4"/>
      <c r="D79" s="4"/>
      <c r="E79" s="4"/>
      <c r="F79" s="13"/>
      <c r="G79" s="14" t="str">
        <f aca="false">IF(E79="","",YEAR(E79)&amp;"-"&amp;TEXT(MONTH(E79),"00"))</f>
        <v/>
      </c>
      <c r="H79" s="15" t="str">
        <f aca="false">IFERROR(INDEX(Projekte!B$5:B$24,MATCH(1,INDEX((ISNUMBER(SEARCH(Projekte!A$5:A$24,A79)))*(Projekte!A$5:A$24&lt;&gt;""),0),0)),"Kein Match")</f>
        <v>Kein Match</v>
      </c>
      <c r="I79" s="15" t="str">
        <f aca="false">IFERROR(INDEX(Projekte!A$5:A$24,MATCH(1,INDEX((ISNUMBER(SEARCH(Projekte!A$5:A$24,A79)))*(Projekte!A$5:A$24&lt;&gt;""),0),0)),"Kein Match")</f>
        <v>Kein Match</v>
      </c>
    </row>
    <row r="80" customFormat="false" ht="15" hidden="false" customHeight="false" outlineLevel="0" collapsed="false">
      <c r="A80" s="4"/>
      <c r="B80" s="4"/>
      <c r="C80" s="4"/>
      <c r="D80" s="4"/>
      <c r="E80" s="4"/>
      <c r="F80" s="13"/>
      <c r="G80" s="14" t="str">
        <f aca="false">IF(E80="","",YEAR(E80)&amp;"-"&amp;TEXT(MONTH(E80),"00"))</f>
        <v/>
      </c>
      <c r="H80" s="15" t="str">
        <f aca="false">IFERROR(INDEX(Projekte!B$5:B$24,MATCH(1,INDEX((ISNUMBER(SEARCH(Projekte!A$5:A$24,A80)))*(Projekte!A$5:A$24&lt;&gt;""),0),0)),"Kein Match")</f>
        <v>Kein Match</v>
      </c>
      <c r="I80" s="15" t="str">
        <f aca="false">IFERROR(INDEX(Projekte!A$5:A$24,MATCH(1,INDEX((ISNUMBER(SEARCH(Projekte!A$5:A$24,A80)))*(Projekte!A$5:A$24&lt;&gt;""),0),0)),"Kein Match")</f>
        <v>Kein Match</v>
      </c>
    </row>
    <row r="81" customFormat="false" ht="15" hidden="false" customHeight="false" outlineLevel="0" collapsed="false">
      <c r="A81" s="4"/>
      <c r="B81" s="4"/>
      <c r="C81" s="4"/>
      <c r="D81" s="4"/>
      <c r="E81" s="4"/>
      <c r="F81" s="13"/>
      <c r="G81" s="14" t="str">
        <f aca="false">IF(E81="","",YEAR(E81)&amp;"-"&amp;TEXT(MONTH(E81),"00"))</f>
        <v/>
      </c>
      <c r="H81" s="15" t="str">
        <f aca="false">IFERROR(INDEX(Projekte!B$5:B$24,MATCH(1,INDEX((ISNUMBER(SEARCH(Projekte!A$5:A$24,A81)))*(Projekte!A$5:A$24&lt;&gt;""),0),0)),"Kein Match")</f>
        <v>Kein Match</v>
      </c>
      <c r="I81" s="15" t="str">
        <f aca="false">IFERROR(INDEX(Projekte!A$5:A$24,MATCH(1,INDEX((ISNUMBER(SEARCH(Projekte!A$5:A$24,A81)))*(Projekte!A$5:A$24&lt;&gt;""),0),0)),"Kein Match")</f>
        <v>Kein Match</v>
      </c>
    </row>
    <row r="82" customFormat="false" ht="15" hidden="false" customHeight="false" outlineLevel="0" collapsed="false">
      <c r="A82" s="4"/>
      <c r="B82" s="4"/>
      <c r="C82" s="4"/>
      <c r="D82" s="4"/>
      <c r="E82" s="4"/>
      <c r="F82" s="13"/>
      <c r="G82" s="14" t="str">
        <f aca="false">IF(E82="","",YEAR(E82)&amp;"-"&amp;TEXT(MONTH(E82),"00"))</f>
        <v/>
      </c>
      <c r="H82" s="15" t="str">
        <f aca="false">IFERROR(INDEX(Projekte!B$5:B$24,MATCH(1,INDEX((ISNUMBER(SEARCH(Projekte!A$5:A$24,A82)))*(Projekte!A$5:A$24&lt;&gt;""),0),0)),"Kein Match")</f>
        <v>Kein Match</v>
      </c>
      <c r="I82" s="15" t="str">
        <f aca="false">IFERROR(INDEX(Projekte!A$5:A$24,MATCH(1,INDEX((ISNUMBER(SEARCH(Projekte!A$5:A$24,A82)))*(Projekte!A$5:A$24&lt;&gt;""),0),0)),"Kein Match")</f>
        <v>Kein Match</v>
      </c>
    </row>
    <row r="83" customFormat="false" ht="15" hidden="false" customHeight="false" outlineLevel="0" collapsed="false">
      <c r="A83" s="4"/>
      <c r="B83" s="4"/>
      <c r="C83" s="4"/>
      <c r="D83" s="4"/>
      <c r="E83" s="4"/>
      <c r="F83" s="13"/>
      <c r="G83" s="14" t="str">
        <f aca="false">IF(E83="","",YEAR(E83)&amp;"-"&amp;TEXT(MONTH(E83),"00"))</f>
        <v/>
      </c>
      <c r="H83" s="15" t="str">
        <f aca="false">IFERROR(INDEX(Projekte!B$5:B$24,MATCH(1,INDEX((ISNUMBER(SEARCH(Projekte!A$5:A$24,A83)))*(Projekte!A$5:A$24&lt;&gt;""),0),0)),"Kein Match")</f>
        <v>Kein Match</v>
      </c>
      <c r="I83" s="15" t="str">
        <f aca="false">IFERROR(INDEX(Projekte!A$5:A$24,MATCH(1,INDEX((ISNUMBER(SEARCH(Projekte!A$5:A$24,A83)))*(Projekte!A$5:A$24&lt;&gt;""),0),0)),"Kein Match")</f>
        <v>Kein Match</v>
      </c>
    </row>
    <row r="84" customFormat="false" ht="15" hidden="false" customHeight="false" outlineLevel="0" collapsed="false">
      <c r="A84" s="4"/>
      <c r="B84" s="4"/>
      <c r="C84" s="4"/>
      <c r="D84" s="4"/>
      <c r="E84" s="4"/>
      <c r="F84" s="13"/>
      <c r="G84" s="14" t="str">
        <f aca="false">IF(E84="","",YEAR(E84)&amp;"-"&amp;TEXT(MONTH(E84),"00"))</f>
        <v/>
      </c>
      <c r="H84" s="15" t="str">
        <f aca="false">IFERROR(INDEX(Projekte!B$5:B$24,MATCH(1,INDEX((ISNUMBER(SEARCH(Projekte!A$5:A$24,A84)))*(Projekte!A$5:A$24&lt;&gt;""),0),0)),"Kein Match")</f>
        <v>Kein Match</v>
      </c>
      <c r="I84" s="15" t="str">
        <f aca="false">IFERROR(INDEX(Projekte!A$5:A$24,MATCH(1,INDEX((ISNUMBER(SEARCH(Projekte!A$5:A$24,A84)))*(Projekte!A$5:A$24&lt;&gt;""),0),0)),"Kein Match")</f>
        <v>Kein Match</v>
      </c>
    </row>
    <row r="85" customFormat="false" ht="15" hidden="false" customHeight="false" outlineLevel="0" collapsed="false">
      <c r="A85" s="4"/>
      <c r="B85" s="4"/>
      <c r="C85" s="4"/>
      <c r="D85" s="4"/>
      <c r="E85" s="4"/>
      <c r="F85" s="13"/>
      <c r="G85" s="14" t="str">
        <f aca="false">IF(E85="","",YEAR(E85)&amp;"-"&amp;TEXT(MONTH(E85),"00"))</f>
        <v/>
      </c>
      <c r="H85" s="15" t="str">
        <f aca="false">IFERROR(INDEX(Projekte!B$5:B$24,MATCH(1,INDEX((ISNUMBER(SEARCH(Projekte!A$5:A$24,A85)))*(Projekte!A$5:A$24&lt;&gt;""),0),0)),"Kein Match")</f>
        <v>Kein Match</v>
      </c>
      <c r="I85" s="15" t="str">
        <f aca="false">IFERROR(INDEX(Projekte!A$5:A$24,MATCH(1,INDEX((ISNUMBER(SEARCH(Projekte!A$5:A$24,A85)))*(Projekte!A$5:A$24&lt;&gt;""),0),0)),"Kein Match")</f>
        <v>Kein Match</v>
      </c>
    </row>
    <row r="86" customFormat="false" ht="15" hidden="false" customHeight="false" outlineLevel="0" collapsed="false">
      <c r="A86" s="4"/>
      <c r="B86" s="4"/>
      <c r="C86" s="4"/>
      <c r="D86" s="4"/>
      <c r="E86" s="4"/>
      <c r="F86" s="13"/>
      <c r="G86" s="14" t="str">
        <f aca="false">IF(E86="","",YEAR(E86)&amp;"-"&amp;TEXT(MONTH(E86),"00"))</f>
        <v/>
      </c>
      <c r="H86" s="15" t="str">
        <f aca="false">IFERROR(INDEX(Projekte!B$5:B$24,MATCH(1,INDEX((ISNUMBER(SEARCH(Projekte!A$5:A$24,A86)))*(Projekte!A$5:A$24&lt;&gt;""),0),0)),"Kein Match")</f>
        <v>Kein Match</v>
      </c>
      <c r="I86" s="15" t="str">
        <f aca="false">IFERROR(INDEX(Projekte!A$5:A$24,MATCH(1,INDEX((ISNUMBER(SEARCH(Projekte!A$5:A$24,A86)))*(Projekte!A$5:A$24&lt;&gt;""),0),0)),"Kein Match")</f>
        <v>Kein Match</v>
      </c>
    </row>
    <row r="87" customFormat="false" ht="15" hidden="false" customHeight="false" outlineLevel="0" collapsed="false">
      <c r="A87" s="4"/>
      <c r="B87" s="4"/>
      <c r="C87" s="4"/>
      <c r="D87" s="4"/>
      <c r="E87" s="4"/>
      <c r="F87" s="13"/>
      <c r="G87" s="14" t="str">
        <f aca="false">IF(E87="","",YEAR(E87)&amp;"-"&amp;TEXT(MONTH(E87),"00"))</f>
        <v/>
      </c>
      <c r="H87" s="15" t="str">
        <f aca="false">IFERROR(INDEX(Projekte!B$5:B$24,MATCH(1,INDEX((ISNUMBER(SEARCH(Projekte!A$5:A$24,A87)))*(Projekte!A$5:A$24&lt;&gt;""),0),0)),"Kein Match")</f>
        <v>Kein Match</v>
      </c>
      <c r="I87" s="15" t="str">
        <f aca="false">IFERROR(INDEX(Projekte!A$5:A$24,MATCH(1,INDEX((ISNUMBER(SEARCH(Projekte!A$5:A$24,A87)))*(Projekte!A$5:A$24&lt;&gt;""),0),0)),"Kein Match")</f>
        <v>Kein Match</v>
      </c>
    </row>
    <row r="88" customFormat="false" ht="15" hidden="false" customHeight="false" outlineLevel="0" collapsed="false">
      <c r="A88" s="4"/>
      <c r="B88" s="4"/>
      <c r="C88" s="4"/>
      <c r="D88" s="4"/>
      <c r="E88" s="4"/>
      <c r="F88" s="13"/>
      <c r="G88" s="14" t="str">
        <f aca="false">IF(E88="","",YEAR(E88)&amp;"-"&amp;TEXT(MONTH(E88),"00"))</f>
        <v/>
      </c>
      <c r="H88" s="15" t="str">
        <f aca="false">IFERROR(INDEX(Projekte!B$5:B$24,MATCH(1,INDEX((ISNUMBER(SEARCH(Projekte!A$5:A$24,A88)))*(Projekte!A$5:A$24&lt;&gt;""),0),0)),"Kein Match")</f>
        <v>Kein Match</v>
      </c>
      <c r="I88" s="15" t="str">
        <f aca="false">IFERROR(INDEX(Projekte!A$5:A$24,MATCH(1,INDEX((ISNUMBER(SEARCH(Projekte!A$5:A$24,A88)))*(Projekte!A$5:A$24&lt;&gt;""),0),0)),"Kein Match")</f>
        <v>Kein Match</v>
      </c>
    </row>
    <row r="89" customFormat="false" ht="15" hidden="false" customHeight="false" outlineLevel="0" collapsed="false">
      <c r="A89" s="4"/>
      <c r="B89" s="4"/>
      <c r="C89" s="4"/>
      <c r="D89" s="4"/>
      <c r="E89" s="4"/>
      <c r="F89" s="13"/>
      <c r="G89" s="14" t="str">
        <f aca="false">IF(E89="","",YEAR(E89)&amp;"-"&amp;TEXT(MONTH(E89),"00"))</f>
        <v/>
      </c>
      <c r="H89" s="15" t="str">
        <f aca="false">IFERROR(INDEX(Projekte!B$5:B$24,MATCH(1,INDEX((ISNUMBER(SEARCH(Projekte!A$5:A$24,A89)))*(Projekte!A$5:A$24&lt;&gt;""),0),0)),"Kein Match")</f>
        <v>Kein Match</v>
      </c>
      <c r="I89" s="15" t="str">
        <f aca="false">IFERROR(INDEX(Projekte!A$5:A$24,MATCH(1,INDEX((ISNUMBER(SEARCH(Projekte!A$5:A$24,A89)))*(Projekte!A$5:A$24&lt;&gt;""),0),0)),"Kein Match")</f>
        <v>Kein Match</v>
      </c>
    </row>
    <row r="90" customFormat="false" ht="15" hidden="false" customHeight="false" outlineLevel="0" collapsed="false">
      <c r="A90" s="4"/>
      <c r="B90" s="4"/>
      <c r="C90" s="4"/>
      <c r="D90" s="4"/>
      <c r="E90" s="4"/>
      <c r="F90" s="13"/>
      <c r="G90" s="14" t="str">
        <f aca="false">IF(E90="","",YEAR(E90)&amp;"-"&amp;TEXT(MONTH(E90),"00"))</f>
        <v/>
      </c>
      <c r="H90" s="15" t="str">
        <f aca="false">IFERROR(INDEX(Projekte!B$5:B$24,MATCH(1,INDEX((ISNUMBER(SEARCH(Projekte!A$5:A$24,A90)))*(Projekte!A$5:A$24&lt;&gt;""),0),0)),"Kein Match")</f>
        <v>Kein Match</v>
      </c>
      <c r="I90" s="15" t="str">
        <f aca="false">IFERROR(INDEX(Projekte!A$5:A$24,MATCH(1,INDEX((ISNUMBER(SEARCH(Projekte!A$5:A$24,A90)))*(Projekte!A$5:A$24&lt;&gt;""),0),0)),"Kein Match")</f>
        <v>Kein Match</v>
      </c>
    </row>
    <row r="91" customFormat="false" ht="15" hidden="false" customHeight="false" outlineLevel="0" collapsed="false">
      <c r="A91" s="4"/>
      <c r="B91" s="4"/>
      <c r="C91" s="4"/>
      <c r="D91" s="4"/>
      <c r="E91" s="4"/>
      <c r="F91" s="13"/>
      <c r="G91" s="14" t="str">
        <f aca="false">IF(E91="","",YEAR(E91)&amp;"-"&amp;TEXT(MONTH(E91),"00"))</f>
        <v/>
      </c>
      <c r="H91" s="15" t="str">
        <f aca="false">IFERROR(INDEX(Projekte!B$5:B$24,MATCH(1,INDEX((ISNUMBER(SEARCH(Projekte!A$5:A$24,A91)))*(Projekte!A$5:A$24&lt;&gt;""),0),0)),"Kein Match")</f>
        <v>Kein Match</v>
      </c>
      <c r="I91" s="15" t="str">
        <f aca="false">IFERROR(INDEX(Projekte!A$5:A$24,MATCH(1,INDEX((ISNUMBER(SEARCH(Projekte!A$5:A$24,A91)))*(Projekte!A$5:A$24&lt;&gt;""),0),0)),"Kein Match")</f>
        <v>Kein Match</v>
      </c>
    </row>
    <row r="92" customFormat="false" ht="15" hidden="false" customHeight="false" outlineLevel="0" collapsed="false">
      <c r="A92" s="4"/>
      <c r="B92" s="4"/>
      <c r="C92" s="4"/>
      <c r="D92" s="4"/>
      <c r="E92" s="4"/>
      <c r="F92" s="13"/>
      <c r="G92" s="14" t="str">
        <f aca="false">IF(E92="","",YEAR(E92)&amp;"-"&amp;TEXT(MONTH(E92),"00"))</f>
        <v/>
      </c>
      <c r="H92" s="15" t="str">
        <f aca="false">IFERROR(INDEX(Projekte!B$5:B$24,MATCH(1,INDEX((ISNUMBER(SEARCH(Projekte!A$5:A$24,A92)))*(Projekte!A$5:A$24&lt;&gt;""),0),0)),"Kein Match")</f>
        <v>Kein Match</v>
      </c>
      <c r="I92" s="15" t="str">
        <f aca="false">IFERROR(INDEX(Projekte!A$5:A$24,MATCH(1,INDEX((ISNUMBER(SEARCH(Projekte!A$5:A$24,A92)))*(Projekte!A$5:A$24&lt;&gt;""),0),0)),"Kein Match")</f>
        <v>Kein Match</v>
      </c>
    </row>
    <row r="93" customFormat="false" ht="15" hidden="false" customHeight="false" outlineLevel="0" collapsed="false">
      <c r="A93" s="4"/>
      <c r="B93" s="4"/>
      <c r="C93" s="4"/>
      <c r="D93" s="4"/>
      <c r="E93" s="4"/>
      <c r="F93" s="13"/>
      <c r="G93" s="14" t="str">
        <f aca="false">IF(E93="","",YEAR(E93)&amp;"-"&amp;TEXT(MONTH(E93),"00"))</f>
        <v/>
      </c>
      <c r="H93" s="15" t="str">
        <f aca="false">IFERROR(INDEX(Projekte!B$5:B$24,MATCH(1,INDEX((ISNUMBER(SEARCH(Projekte!A$5:A$24,A93)))*(Projekte!A$5:A$24&lt;&gt;""),0),0)),"Kein Match")</f>
        <v>Kein Match</v>
      </c>
      <c r="I93" s="15" t="str">
        <f aca="false">IFERROR(INDEX(Projekte!A$5:A$24,MATCH(1,INDEX((ISNUMBER(SEARCH(Projekte!A$5:A$24,A93)))*(Projekte!A$5:A$24&lt;&gt;""),0),0)),"Kein Match")</f>
        <v>Kein Match</v>
      </c>
    </row>
    <row r="94" customFormat="false" ht="15" hidden="false" customHeight="false" outlineLevel="0" collapsed="false">
      <c r="A94" s="4"/>
      <c r="B94" s="4"/>
      <c r="C94" s="4"/>
      <c r="D94" s="4"/>
      <c r="E94" s="4"/>
      <c r="F94" s="13"/>
      <c r="G94" s="14" t="str">
        <f aca="false">IF(E94="","",YEAR(E94)&amp;"-"&amp;TEXT(MONTH(E94),"00"))</f>
        <v/>
      </c>
      <c r="H94" s="15" t="str">
        <f aca="false">IFERROR(INDEX(Projekte!B$5:B$24,MATCH(1,INDEX((ISNUMBER(SEARCH(Projekte!A$5:A$24,A94)))*(Projekte!A$5:A$24&lt;&gt;""),0),0)),"Kein Match")</f>
        <v>Kein Match</v>
      </c>
      <c r="I94" s="15" t="str">
        <f aca="false">IFERROR(INDEX(Projekte!A$5:A$24,MATCH(1,INDEX((ISNUMBER(SEARCH(Projekte!A$5:A$24,A94)))*(Projekte!A$5:A$24&lt;&gt;""),0),0)),"Kein Match")</f>
        <v>Kein Match</v>
      </c>
    </row>
    <row r="95" customFormat="false" ht="15" hidden="false" customHeight="false" outlineLevel="0" collapsed="false">
      <c r="A95" s="4"/>
      <c r="B95" s="4"/>
      <c r="C95" s="4"/>
      <c r="D95" s="4"/>
      <c r="E95" s="4"/>
      <c r="F95" s="13"/>
      <c r="G95" s="14" t="str">
        <f aca="false">IF(E95="","",YEAR(E95)&amp;"-"&amp;TEXT(MONTH(E95),"00"))</f>
        <v/>
      </c>
      <c r="H95" s="15" t="str">
        <f aca="false">IFERROR(INDEX(Projekte!B$5:B$24,MATCH(1,INDEX((ISNUMBER(SEARCH(Projekte!A$5:A$24,A95)))*(Projekte!A$5:A$24&lt;&gt;""),0),0)),"Kein Match")</f>
        <v>Kein Match</v>
      </c>
      <c r="I95" s="15" t="str">
        <f aca="false">IFERROR(INDEX(Projekte!A$5:A$24,MATCH(1,INDEX((ISNUMBER(SEARCH(Projekte!A$5:A$24,A95)))*(Projekte!A$5:A$24&lt;&gt;""),0),0)),"Kein Match")</f>
        <v>Kein Match</v>
      </c>
    </row>
    <row r="96" customFormat="false" ht="15" hidden="false" customHeight="false" outlineLevel="0" collapsed="false">
      <c r="A96" s="4"/>
      <c r="B96" s="4"/>
      <c r="C96" s="4"/>
      <c r="D96" s="4"/>
      <c r="E96" s="4"/>
      <c r="F96" s="13"/>
      <c r="G96" s="14" t="str">
        <f aca="false">IF(E96="","",YEAR(E96)&amp;"-"&amp;TEXT(MONTH(E96),"00"))</f>
        <v/>
      </c>
      <c r="H96" s="15" t="str">
        <f aca="false">IFERROR(INDEX(Projekte!B$5:B$24,MATCH(1,INDEX((ISNUMBER(SEARCH(Projekte!A$5:A$24,A96)))*(Projekte!A$5:A$24&lt;&gt;""),0),0)),"Kein Match")</f>
        <v>Kein Match</v>
      </c>
      <c r="I96" s="15" t="str">
        <f aca="false">IFERROR(INDEX(Projekte!A$5:A$24,MATCH(1,INDEX((ISNUMBER(SEARCH(Projekte!A$5:A$24,A96)))*(Projekte!A$5:A$24&lt;&gt;""),0),0)),"Kein Match")</f>
        <v>Kein Match</v>
      </c>
    </row>
    <row r="97" customFormat="false" ht="15" hidden="false" customHeight="false" outlineLevel="0" collapsed="false">
      <c r="A97" s="4"/>
      <c r="B97" s="4"/>
      <c r="C97" s="4"/>
      <c r="D97" s="4"/>
      <c r="E97" s="4"/>
      <c r="F97" s="13"/>
      <c r="G97" s="14" t="str">
        <f aca="false">IF(E97="","",YEAR(E97)&amp;"-"&amp;TEXT(MONTH(E97),"00"))</f>
        <v/>
      </c>
      <c r="H97" s="15" t="str">
        <f aca="false">IFERROR(INDEX(Projekte!B$5:B$24,MATCH(1,INDEX((ISNUMBER(SEARCH(Projekte!A$5:A$24,A97)))*(Projekte!A$5:A$24&lt;&gt;""),0),0)),"Kein Match")</f>
        <v>Kein Match</v>
      </c>
      <c r="I97" s="15" t="str">
        <f aca="false">IFERROR(INDEX(Projekte!A$5:A$24,MATCH(1,INDEX((ISNUMBER(SEARCH(Projekte!A$5:A$24,A97)))*(Projekte!A$5:A$24&lt;&gt;""),0),0)),"Kein Match")</f>
        <v>Kein Match</v>
      </c>
    </row>
    <row r="98" customFormat="false" ht="15" hidden="false" customHeight="false" outlineLevel="0" collapsed="false">
      <c r="A98" s="4"/>
      <c r="B98" s="4"/>
      <c r="C98" s="4"/>
      <c r="D98" s="4"/>
      <c r="E98" s="4"/>
      <c r="F98" s="13"/>
      <c r="G98" s="14" t="str">
        <f aca="false">IF(E98="","",YEAR(E98)&amp;"-"&amp;TEXT(MONTH(E98),"00"))</f>
        <v/>
      </c>
      <c r="H98" s="15" t="str">
        <f aca="false">IFERROR(INDEX(Projekte!B$5:B$24,MATCH(1,INDEX((ISNUMBER(SEARCH(Projekte!A$5:A$24,A98)))*(Projekte!A$5:A$24&lt;&gt;""),0),0)),"Kein Match")</f>
        <v>Kein Match</v>
      </c>
      <c r="I98" s="15" t="str">
        <f aca="false">IFERROR(INDEX(Projekte!A$5:A$24,MATCH(1,INDEX((ISNUMBER(SEARCH(Projekte!A$5:A$24,A98)))*(Projekte!A$5:A$24&lt;&gt;""),0),0)),"Kein Match")</f>
        <v>Kein Match</v>
      </c>
    </row>
    <row r="99" customFormat="false" ht="15" hidden="false" customHeight="false" outlineLevel="0" collapsed="false">
      <c r="A99" s="4"/>
      <c r="B99" s="4"/>
      <c r="C99" s="4"/>
      <c r="D99" s="4"/>
      <c r="E99" s="4"/>
      <c r="F99" s="13"/>
      <c r="G99" s="14" t="str">
        <f aca="false">IF(E99="","",YEAR(E99)&amp;"-"&amp;TEXT(MONTH(E99),"00"))</f>
        <v/>
      </c>
      <c r="H99" s="15" t="str">
        <f aca="false">IFERROR(INDEX(Projekte!B$5:B$24,MATCH(1,INDEX((ISNUMBER(SEARCH(Projekte!A$5:A$24,A99)))*(Projekte!A$5:A$24&lt;&gt;""),0),0)),"Kein Match")</f>
        <v>Kein Match</v>
      </c>
      <c r="I99" s="15" t="str">
        <f aca="false">IFERROR(INDEX(Projekte!A$5:A$24,MATCH(1,INDEX((ISNUMBER(SEARCH(Projekte!A$5:A$24,A99)))*(Projekte!A$5:A$24&lt;&gt;""),0),0)),"Kein Match")</f>
        <v>Kein Match</v>
      </c>
    </row>
    <row r="100" customFormat="false" ht="15" hidden="false" customHeight="false" outlineLevel="0" collapsed="false">
      <c r="A100" s="4"/>
      <c r="B100" s="4"/>
      <c r="C100" s="4"/>
      <c r="D100" s="4"/>
      <c r="E100" s="4"/>
      <c r="F100" s="13"/>
      <c r="G100" s="14" t="str">
        <f aca="false">IF(E100="","",YEAR(E100)&amp;"-"&amp;TEXT(MONTH(E100),"00"))</f>
        <v/>
      </c>
      <c r="H100" s="15" t="str">
        <f aca="false">IFERROR(INDEX(Projekte!B$5:B$24,MATCH(1,INDEX((ISNUMBER(SEARCH(Projekte!A$5:A$24,A100)))*(Projekte!A$5:A$24&lt;&gt;""),0),0)),"Kein Match")</f>
        <v>Kein Match</v>
      </c>
      <c r="I100" s="15" t="str">
        <f aca="false">IFERROR(INDEX(Projekte!A$5:A$24,MATCH(1,INDEX((ISNUMBER(SEARCH(Projekte!A$5:A$24,A100)))*(Projekte!A$5:A$24&lt;&gt;""),0),0)),"Kein Match")</f>
        <v>Kein Match</v>
      </c>
    </row>
    <row r="101" customFormat="false" ht="15" hidden="false" customHeight="false" outlineLevel="0" collapsed="false">
      <c r="A101" s="4"/>
      <c r="B101" s="4"/>
      <c r="C101" s="4"/>
      <c r="D101" s="4"/>
      <c r="E101" s="4"/>
      <c r="F101" s="13"/>
      <c r="G101" s="14" t="str">
        <f aca="false">IF(E101="","",YEAR(E101)&amp;"-"&amp;TEXT(MONTH(E101),"00"))</f>
        <v/>
      </c>
      <c r="H101" s="15" t="str">
        <f aca="false">IFERROR(INDEX(Projekte!B$5:B$24,MATCH(1,INDEX((ISNUMBER(SEARCH(Projekte!A$5:A$24,A101)))*(Projekte!A$5:A$24&lt;&gt;""),0),0)),"Kein Match")</f>
        <v>Kein Match</v>
      </c>
      <c r="I101" s="15" t="str">
        <f aca="false">IFERROR(INDEX(Projekte!A$5:A$24,MATCH(1,INDEX((ISNUMBER(SEARCH(Projekte!A$5:A$24,A101)))*(Projekte!A$5:A$24&lt;&gt;""),0),0)),"Kein Match")</f>
        <v>Kein Match</v>
      </c>
    </row>
    <row r="102" customFormat="false" ht="15" hidden="false" customHeight="false" outlineLevel="0" collapsed="false">
      <c r="A102" s="4"/>
      <c r="B102" s="4"/>
      <c r="C102" s="4"/>
      <c r="D102" s="4"/>
      <c r="E102" s="4"/>
      <c r="F102" s="13"/>
      <c r="G102" s="14" t="str">
        <f aca="false">IF(E102="","",YEAR(E102)&amp;"-"&amp;TEXT(MONTH(E102),"00"))</f>
        <v/>
      </c>
      <c r="H102" s="15" t="str">
        <f aca="false">IFERROR(INDEX(Projekte!B$5:B$24,MATCH(1,INDEX((ISNUMBER(SEARCH(Projekte!A$5:A$24,A102)))*(Projekte!A$5:A$24&lt;&gt;""),0),0)),"Kein Match")</f>
        <v>Kein Match</v>
      </c>
      <c r="I102" s="15" t="str">
        <f aca="false">IFERROR(INDEX(Projekte!A$5:A$24,MATCH(1,INDEX((ISNUMBER(SEARCH(Projekte!A$5:A$24,A102)))*(Projekte!A$5:A$24&lt;&gt;""),0),0)),"Kein Match")</f>
        <v>Kein Match</v>
      </c>
    </row>
    <row r="103" customFormat="false" ht="15" hidden="false" customHeight="false" outlineLevel="0" collapsed="false">
      <c r="A103" s="4"/>
      <c r="B103" s="4"/>
      <c r="C103" s="4"/>
      <c r="D103" s="4"/>
      <c r="E103" s="4"/>
      <c r="F103" s="13"/>
      <c r="G103" s="14" t="str">
        <f aca="false">IF(E103="","",YEAR(E103)&amp;"-"&amp;TEXT(MONTH(E103),"00"))</f>
        <v/>
      </c>
      <c r="H103" s="15" t="str">
        <f aca="false">IFERROR(INDEX(Projekte!B$5:B$24,MATCH(1,INDEX((ISNUMBER(SEARCH(Projekte!A$5:A$24,A103)))*(Projekte!A$5:A$24&lt;&gt;""),0),0)),"Kein Match")</f>
        <v>Kein Match</v>
      </c>
      <c r="I103" s="15" t="str">
        <f aca="false">IFERROR(INDEX(Projekte!A$5:A$24,MATCH(1,INDEX((ISNUMBER(SEARCH(Projekte!A$5:A$24,A103)))*(Projekte!A$5:A$24&lt;&gt;""),0),0)),"Kein Match")</f>
        <v>Kein Match</v>
      </c>
    </row>
    <row r="104" customFormat="false" ht="15" hidden="false" customHeight="false" outlineLevel="0" collapsed="false">
      <c r="A104" s="4"/>
      <c r="B104" s="4"/>
      <c r="C104" s="4"/>
      <c r="D104" s="4"/>
      <c r="E104" s="4"/>
      <c r="F104" s="13"/>
      <c r="G104" s="14" t="str">
        <f aca="false">IF(E104="","",YEAR(E104)&amp;"-"&amp;TEXT(MONTH(E104),"00"))</f>
        <v/>
      </c>
      <c r="H104" s="15" t="str">
        <f aca="false">IFERROR(INDEX(Projekte!B$5:B$24,MATCH(1,INDEX((ISNUMBER(SEARCH(Projekte!A$5:A$24,A104)))*(Projekte!A$5:A$24&lt;&gt;""),0),0)),"Kein Match")</f>
        <v>Kein Match</v>
      </c>
      <c r="I104" s="15" t="str">
        <f aca="false">IFERROR(INDEX(Projekte!A$5:A$24,MATCH(1,INDEX((ISNUMBER(SEARCH(Projekte!A$5:A$24,A104)))*(Projekte!A$5:A$24&lt;&gt;""),0),0)),"Kein Match")</f>
        <v>Kein Match</v>
      </c>
    </row>
    <row r="105" customFormat="false" ht="15" hidden="false" customHeight="false" outlineLevel="0" collapsed="false">
      <c r="A105" s="4"/>
      <c r="B105" s="4"/>
      <c r="C105" s="4"/>
      <c r="D105" s="4"/>
      <c r="E105" s="4"/>
      <c r="F105" s="13"/>
      <c r="G105" s="14" t="str">
        <f aca="false">IF(E105="","",YEAR(E105)&amp;"-"&amp;TEXT(MONTH(E105),"00"))</f>
        <v/>
      </c>
      <c r="H105" s="15" t="str">
        <f aca="false">IFERROR(INDEX(Projekte!B$5:B$24,MATCH(1,INDEX((ISNUMBER(SEARCH(Projekte!A$5:A$24,A105)))*(Projekte!A$5:A$24&lt;&gt;""),0),0)),"Kein Match")</f>
        <v>Kein Match</v>
      </c>
      <c r="I105" s="15" t="str">
        <f aca="false">IFERROR(INDEX(Projekte!A$5:A$24,MATCH(1,INDEX((ISNUMBER(SEARCH(Projekte!A$5:A$24,A105)))*(Projekte!A$5:A$24&lt;&gt;""),0),0)),"Kein Match")</f>
        <v>Kein Match</v>
      </c>
    </row>
    <row r="106" customFormat="false" ht="15" hidden="false" customHeight="false" outlineLevel="0" collapsed="false">
      <c r="A106" s="4"/>
      <c r="B106" s="4"/>
      <c r="C106" s="4"/>
      <c r="D106" s="4"/>
      <c r="E106" s="4"/>
      <c r="F106" s="13"/>
      <c r="G106" s="14" t="str">
        <f aca="false">IF(E106="","",YEAR(E106)&amp;"-"&amp;TEXT(MONTH(E106),"00"))</f>
        <v/>
      </c>
      <c r="H106" s="15" t="str">
        <f aca="false">IFERROR(INDEX(Projekte!B$5:B$24,MATCH(1,INDEX((ISNUMBER(SEARCH(Projekte!A$5:A$24,A106)))*(Projekte!A$5:A$24&lt;&gt;""),0),0)),"Kein Match")</f>
        <v>Kein Match</v>
      </c>
      <c r="I106" s="15" t="str">
        <f aca="false">IFERROR(INDEX(Projekte!A$5:A$24,MATCH(1,INDEX((ISNUMBER(SEARCH(Projekte!A$5:A$24,A106)))*(Projekte!A$5:A$24&lt;&gt;""),0),0)),"Kein Match")</f>
        <v>Kein Match</v>
      </c>
    </row>
    <row r="107" customFormat="false" ht="15" hidden="false" customHeight="false" outlineLevel="0" collapsed="false">
      <c r="A107" s="4"/>
      <c r="B107" s="4"/>
      <c r="C107" s="4"/>
      <c r="D107" s="4"/>
      <c r="E107" s="4"/>
      <c r="F107" s="13"/>
      <c r="G107" s="14" t="str">
        <f aca="false">IF(E107="","",YEAR(E107)&amp;"-"&amp;TEXT(MONTH(E107),"00"))</f>
        <v/>
      </c>
      <c r="H107" s="15" t="str">
        <f aca="false">IFERROR(INDEX(Projekte!B$5:B$24,MATCH(1,INDEX((ISNUMBER(SEARCH(Projekte!A$5:A$24,A107)))*(Projekte!A$5:A$24&lt;&gt;""),0),0)),"Kein Match")</f>
        <v>Kein Match</v>
      </c>
      <c r="I107" s="15" t="str">
        <f aca="false">IFERROR(INDEX(Projekte!A$5:A$24,MATCH(1,INDEX((ISNUMBER(SEARCH(Projekte!A$5:A$24,A107)))*(Projekte!A$5:A$24&lt;&gt;""),0),0)),"Kein Match")</f>
        <v>Kein Match</v>
      </c>
    </row>
    <row r="108" customFormat="false" ht="15" hidden="false" customHeight="false" outlineLevel="0" collapsed="false">
      <c r="A108" s="4"/>
      <c r="B108" s="4"/>
      <c r="C108" s="4"/>
      <c r="D108" s="4"/>
      <c r="E108" s="4"/>
      <c r="F108" s="13"/>
      <c r="G108" s="14" t="str">
        <f aca="false">IF(E108="","",YEAR(E108)&amp;"-"&amp;TEXT(MONTH(E108),"00"))</f>
        <v/>
      </c>
      <c r="H108" s="15" t="str">
        <f aca="false">IFERROR(INDEX(Projekte!B$5:B$24,MATCH(1,INDEX((ISNUMBER(SEARCH(Projekte!A$5:A$24,A108)))*(Projekte!A$5:A$24&lt;&gt;""),0),0)),"Kein Match")</f>
        <v>Kein Match</v>
      </c>
      <c r="I108" s="15" t="str">
        <f aca="false">IFERROR(INDEX(Projekte!A$5:A$24,MATCH(1,INDEX((ISNUMBER(SEARCH(Projekte!A$5:A$24,A108)))*(Projekte!A$5:A$24&lt;&gt;""),0),0)),"Kein Match")</f>
        <v>Kein Match</v>
      </c>
    </row>
    <row r="109" customFormat="false" ht="15" hidden="false" customHeight="false" outlineLevel="0" collapsed="false">
      <c r="A109" s="4"/>
      <c r="B109" s="4"/>
      <c r="C109" s="4"/>
      <c r="D109" s="4"/>
      <c r="E109" s="4"/>
      <c r="F109" s="13"/>
      <c r="G109" s="14" t="str">
        <f aca="false">IF(E109="","",YEAR(E109)&amp;"-"&amp;TEXT(MONTH(E109),"00"))</f>
        <v/>
      </c>
      <c r="H109" s="15" t="str">
        <f aca="false">IFERROR(INDEX(Projekte!B$5:B$24,MATCH(1,INDEX((ISNUMBER(SEARCH(Projekte!A$5:A$24,A109)))*(Projekte!A$5:A$24&lt;&gt;""),0),0)),"Kein Match")</f>
        <v>Kein Match</v>
      </c>
      <c r="I109" s="15" t="str">
        <f aca="false">IFERROR(INDEX(Projekte!A$5:A$24,MATCH(1,INDEX((ISNUMBER(SEARCH(Projekte!A$5:A$24,A109)))*(Projekte!A$5:A$24&lt;&gt;""),0),0)),"Kein Match")</f>
        <v>Kein Match</v>
      </c>
    </row>
    <row r="110" customFormat="false" ht="15" hidden="false" customHeight="false" outlineLevel="0" collapsed="false">
      <c r="A110" s="4"/>
      <c r="B110" s="4"/>
      <c r="C110" s="4"/>
      <c r="D110" s="4"/>
      <c r="E110" s="4"/>
      <c r="F110" s="13"/>
      <c r="G110" s="14" t="str">
        <f aca="false">IF(E110="","",YEAR(E110)&amp;"-"&amp;TEXT(MONTH(E110),"00"))</f>
        <v/>
      </c>
      <c r="H110" s="15" t="str">
        <f aca="false">IFERROR(INDEX(Projekte!B$5:B$24,MATCH(1,INDEX((ISNUMBER(SEARCH(Projekte!A$5:A$24,A110)))*(Projekte!A$5:A$24&lt;&gt;""),0),0)),"Kein Match")</f>
        <v>Kein Match</v>
      </c>
      <c r="I110" s="15" t="str">
        <f aca="false">IFERROR(INDEX(Projekte!A$5:A$24,MATCH(1,INDEX((ISNUMBER(SEARCH(Projekte!A$5:A$24,A110)))*(Projekte!A$5:A$24&lt;&gt;""),0),0)),"Kein Match")</f>
        <v>Kein Match</v>
      </c>
    </row>
    <row r="111" customFormat="false" ht="15" hidden="false" customHeight="false" outlineLevel="0" collapsed="false">
      <c r="A111" s="4"/>
      <c r="B111" s="4"/>
      <c r="C111" s="4"/>
      <c r="D111" s="4"/>
      <c r="E111" s="4"/>
      <c r="F111" s="13"/>
      <c r="G111" s="14" t="str">
        <f aca="false">IF(E111="","",YEAR(E111)&amp;"-"&amp;TEXT(MONTH(E111),"00"))</f>
        <v/>
      </c>
      <c r="H111" s="15" t="str">
        <f aca="false">IFERROR(INDEX(Projekte!B$5:B$24,MATCH(1,INDEX((ISNUMBER(SEARCH(Projekte!A$5:A$24,A111)))*(Projekte!A$5:A$24&lt;&gt;""),0),0)),"Kein Match")</f>
        <v>Kein Match</v>
      </c>
      <c r="I111" s="15" t="str">
        <f aca="false">IFERROR(INDEX(Projekte!A$5:A$24,MATCH(1,INDEX((ISNUMBER(SEARCH(Projekte!A$5:A$24,A111)))*(Projekte!A$5:A$24&lt;&gt;""),0),0)),"Kein Match")</f>
        <v>Kein Match</v>
      </c>
    </row>
    <row r="112" customFormat="false" ht="15" hidden="false" customHeight="false" outlineLevel="0" collapsed="false">
      <c r="A112" s="4"/>
      <c r="B112" s="4"/>
      <c r="C112" s="4"/>
      <c r="D112" s="4"/>
      <c r="E112" s="4"/>
      <c r="F112" s="13"/>
      <c r="G112" s="14" t="str">
        <f aca="false">IF(E112="","",YEAR(E112)&amp;"-"&amp;TEXT(MONTH(E112),"00"))</f>
        <v/>
      </c>
      <c r="H112" s="15" t="str">
        <f aca="false">IFERROR(INDEX(Projekte!B$5:B$24,MATCH(1,INDEX((ISNUMBER(SEARCH(Projekte!A$5:A$24,A112)))*(Projekte!A$5:A$24&lt;&gt;""),0),0)),"Kein Match")</f>
        <v>Kein Match</v>
      </c>
      <c r="I112" s="15" t="str">
        <f aca="false">IFERROR(INDEX(Projekte!A$5:A$24,MATCH(1,INDEX((ISNUMBER(SEARCH(Projekte!A$5:A$24,A112)))*(Projekte!A$5:A$24&lt;&gt;""),0),0)),"Kein Match")</f>
        <v>Kein Match</v>
      </c>
    </row>
    <row r="113" customFormat="false" ht="15" hidden="false" customHeight="false" outlineLevel="0" collapsed="false">
      <c r="A113" s="4"/>
      <c r="B113" s="4"/>
      <c r="C113" s="4"/>
      <c r="D113" s="4"/>
      <c r="E113" s="4"/>
      <c r="F113" s="13"/>
      <c r="G113" s="14" t="str">
        <f aca="false">IF(E113="","",YEAR(E113)&amp;"-"&amp;TEXT(MONTH(E113),"00"))</f>
        <v/>
      </c>
      <c r="H113" s="15" t="str">
        <f aca="false">IFERROR(INDEX(Projekte!B$5:B$24,MATCH(1,INDEX((ISNUMBER(SEARCH(Projekte!A$5:A$24,A113)))*(Projekte!A$5:A$24&lt;&gt;""),0),0)),"Kein Match")</f>
        <v>Kein Match</v>
      </c>
      <c r="I113" s="15" t="str">
        <f aca="false">IFERROR(INDEX(Projekte!A$5:A$24,MATCH(1,INDEX((ISNUMBER(SEARCH(Projekte!A$5:A$24,A113)))*(Projekte!A$5:A$24&lt;&gt;""),0),0)),"Kein Match")</f>
        <v>Kein Match</v>
      </c>
    </row>
    <row r="114" customFormat="false" ht="15" hidden="false" customHeight="false" outlineLevel="0" collapsed="false">
      <c r="A114" s="4"/>
      <c r="B114" s="4"/>
      <c r="C114" s="4"/>
      <c r="D114" s="4"/>
      <c r="E114" s="4"/>
      <c r="F114" s="13"/>
      <c r="G114" s="14" t="str">
        <f aca="false">IF(E114="","",YEAR(E114)&amp;"-"&amp;TEXT(MONTH(E114),"00"))</f>
        <v/>
      </c>
      <c r="H114" s="15" t="str">
        <f aca="false">IFERROR(INDEX(Projekte!B$5:B$24,MATCH(1,INDEX((ISNUMBER(SEARCH(Projekte!A$5:A$24,A114)))*(Projekte!A$5:A$24&lt;&gt;""),0),0)),"Kein Match")</f>
        <v>Kein Match</v>
      </c>
      <c r="I114" s="15" t="str">
        <f aca="false">IFERROR(INDEX(Projekte!A$5:A$24,MATCH(1,INDEX((ISNUMBER(SEARCH(Projekte!A$5:A$24,A114)))*(Projekte!A$5:A$24&lt;&gt;""),0),0)),"Kein Match")</f>
        <v>Kein Match</v>
      </c>
    </row>
    <row r="115" customFormat="false" ht="15" hidden="false" customHeight="false" outlineLevel="0" collapsed="false">
      <c r="A115" s="4"/>
      <c r="B115" s="4"/>
      <c r="C115" s="4"/>
      <c r="D115" s="4"/>
      <c r="E115" s="4"/>
      <c r="F115" s="13"/>
      <c r="G115" s="14" t="str">
        <f aca="false">IF(E115="","",YEAR(E115)&amp;"-"&amp;TEXT(MONTH(E115),"00"))</f>
        <v/>
      </c>
      <c r="H115" s="15" t="str">
        <f aca="false">IFERROR(INDEX(Projekte!B$5:B$24,MATCH(1,INDEX((ISNUMBER(SEARCH(Projekte!A$5:A$24,A115)))*(Projekte!A$5:A$24&lt;&gt;""),0),0)),"Kein Match")</f>
        <v>Kein Match</v>
      </c>
      <c r="I115" s="15" t="str">
        <f aca="false">IFERROR(INDEX(Projekte!A$5:A$24,MATCH(1,INDEX((ISNUMBER(SEARCH(Projekte!A$5:A$24,A115)))*(Projekte!A$5:A$24&lt;&gt;""),0),0)),"Kein Match")</f>
        <v>Kein Match</v>
      </c>
    </row>
    <row r="116" customFormat="false" ht="15" hidden="false" customHeight="false" outlineLevel="0" collapsed="false">
      <c r="A116" s="4"/>
      <c r="B116" s="4"/>
      <c r="C116" s="4"/>
      <c r="D116" s="4"/>
      <c r="E116" s="4"/>
      <c r="F116" s="13"/>
      <c r="G116" s="14" t="str">
        <f aca="false">IF(E116="","",YEAR(E116)&amp;"-"&amp;TEXT(MONTH(E116),"00"))</f>
        <v/>
      </c>
      <c r="H116" s="15" t="str">
        <f aca="false">IFERROR(INDEX(Projekte!B$5:B$24,MATCH(1,INDEX((ISNUMBER(SEARCH(Projekte!A$5:A$24,A116)))*(Projekte!A$5:A$24&lt;&gt;""),0),0)),"Kein Match")</f>
        <v>Kein Match</v>
      </c>
      <c r="I116" s="15" t="str">
        <f aca="false">IFERROR(INDEX(Projekte!A$5:A$24,MATCH(1,INDEX((ISNUMBER(SEARCH(Projekte!A$5:A$24,A116)))*(Projekte!A$5:A$24&lt;&gt;""),0),0)),"Kein Match")</f>
        <v>Kein Match</v>
      </c>
    </row>
    <row r="117" customFormat="false" ht="15" hidden="false" customHeight="false" outlineLevel="0" collapsed="false">
      <c r="A117" s="4"/>
      <c r="B117" s="4"/>
      <c r="C117" s="4"/>
      <c r="D117" s="4"/>
      <c r="E117" s="4"/>
      <c r="F117" s="13"/>
      <c r="G117" s="14" t="str">
        <f aca="false">IF(E117="","",YEAR(E117)&amp;"-"&amp;TEXT(MONTH(E117),"00"))</f>
        <v/>
      </c>
      <c r="H117" s="15" t="str">
        <f aca="false">IFERROR(INDEX(Projekte!B$5:B$24,MATCH(1,INDEX((ISNUMBER(SEARCH(Projekte!A$5:A$24,A117)))*(Projekte!A$5:A$24&lt;&gt;""),0),0)),"Kein Match")</f>
        <v>Kein Match</v>
      </c>
      <c r="I117" s="15" t="str">
        <f aca="false">IFERROR(INDEX(Projekte!A$5:A$24,MATCH(1,INDEX((ISNUMBER(SEARCH(Projekte!A$5:A$24,A117)))*(Projekte!A$5:A$24&lt;&gt;""),0),0)),"Kein Match")</f>
        <v>Kein Match</v>
      </c>
    </row>
    <row r="118" customFormat="false" ht="15" hidden="false" customHeight="false" outlineLevel="0" collapsed="false">
      <c r="A118" s="4"/>
      <c r="B118" s="4"/>
      <c r="C118" s="4"/>
      <c r="D118" s="4"/>
      <c r="E118" s="4"/>
      <c r="F118" s="13"/>
      <c r="G118" s="14" t="str">
        <f aca="false">IF(E118="","",YEAR(E118)&amp;"-"&amp;TEXT(MONTH(E118),"00"))</f>
        <v/>
      </c>
      <c r="H118" s="15" t="str">
        <f aca="false">IFERROR(INDEX(Projekte!B$5:B$24,MATCH(1,INDEX((ISNUMBER(SEARCH(Projekte!A$5:A$24,A118)))*(Projekte!A$5:A$24&lt;&gt;""),0),0)),"Kein Match")</f>
        <v>Kein Match</v>
      </c>
      <c r="I118" s="15" t="str">
        <f aca="false">IFERROR(INDEX(Projekte!A$5:A$24,MATCH(1,INDEX((ISNUMBER(SEARCH(Projekte!A$5:A$24,A118)))*(Projekte!A$5:A$24&lt;&gt;""),0),0)),"Kein Match")</f>
        <v>Kein Match</v>
      </c>
    </row>
    <row r="119" customFormat="false" ht="15" hidden="false" customHeight="false" outlineLevel="0" collapsed="false">
      <c r="A119" s="4"/>
      <c r="B119" s="4"/>
      <c r="C119" s="4"/>
      <c r="D119" s="4"/>
      <c r="E119" s="4"/>
      <c r="F119" s="13"/>
      <c r="G119" s="14" t="str">
        <f aca="false">IF(E119="","",YEAR(E119)&amp;"-"&amp;TEXT(MONTH(E119),"00"))</f>
        <v/>
      </c>
      <c r="H119" s="15" t="str">
        <f aca="false">IFERROR(INDEX(Projekte!B$5:B$24,MATCH(1,INDEX((ISNUMBER(SEARCH(Projekte!A$5:A$24,A119)))*(Projekte!A$5:A$24&lt;&gt;""),0),0)),"Kein Match")</f>
        <v>Kein Match</v>
      </c>
      <c r="I119" s="15" t="str">
        <f aca="false">IFERROR(INDEX(Projekte!A$5:A$24,MATCH(1,INDEX((ISNUMBER(SEARCH(Projekte!A$5:A$24,A119)))*(Projekte!A$5:A$24&lt;&gt;""),0),0)),"Kein Match")</f>
        <v>Kein Match</v>
      </c>
    </row>
    <row r="120" customFormat="false" ht="15" hidden="false" customHeight="false" outlineLevel="0" collapsed="false">
      <c r="A120" s="4"/>
      <c r="B120" s="4"/>
      <c r="C120" s="4"/>
      <c r="D120" s="4"/>
      <c r="E120" s="4"/>
      <c r="F120" s="13"/>
      <c r="G120" s="14" t="str">
        <f aca="false">IF(E120="","",YEAR(E120)&amp;"-"&amp;TEXT(MONTH(E120),"00"))</f>
        <v/>
      </c>
      <c r="H120" s="15" t="str">
        <f aca="false">IFERROR(INDEX(Projekte!B$5:B$24,MATCH(1,INDEX((ISNUMBER(SEARCH(Projekte!A$5:A$24,A120)))*(Projekte!A$5:A$24&lt;&gt;""),0),0)),"Kein Match")</f>
        <v>Kein Match</v>
      </c>
      <c r="I120" s="15" t="str">
        <f aca="false">IFERROR(INDEX(Projekte!A$5:A$24,MATCH(1,INDEX((ISNUMBER(SEARCH(Projekte!A$5:A$24,A120)))*(Projekte!A$5:A$24&lt;&gt;""),0),0)),"Kein Match")</f>
        <v>Kein Match</v>
      </c>
    </row>
    <row r="121" customFormat="false" ht="15" hidden="false" customHeight="false" outlineLevel="0" collapsed="false">
      <c r="A121" s="4"/>
      <c r="B121" s="4"/>
      <c r="C121" s="4"/>
      <c r="D121" s="4"/>
      <c r="E121" s="4"/>
      <c r="F121" s="13"/>
      <c r="G121" s="14" t="str">
        <f aca="false">IF(E121="","",YEAR(E121)&amp;"-"&amp;TEXT(MONTH(E121),"00"))</f>
        <v/>
      </c>
      <c r="H121" s="15" t="str">
        <f aca="false">IFERROR(INDEX(Projekte!B$5:B$24,MATCH(1,INDEX((ISNUMBER(SEARCH(Projekte!A$5:A$24,A121)))*(Projekte!A$5:A$24&lt;&gt;""),0),0)),"Kein Match")</f>
        <v>Kein Match</v>
      </c>
      <c r="I121" s="15" t="str">
        <f aca="false">IFERROR(INDEX(Projekte!A$5:A$24,MATCH(1,INDEX((ISNUMBER(SEARCH(Projekte!A$5:A$24,A121)))*(Projekte!A$5:A$24&lt;&gt;""),0),0)),"Kein Match")</f>
        <v>Kein Match</v>
      </c>
    </row>
    <row r="122" customFormat="false" ht="15" hidden="false" customHeight="false" outlineLevel="0" collapsed="false">
      <c r="A122" s="4"/>
      <c r="B122" s="4"/>
      <c r="C122" s="4"/>
      <c r="D122" s="4"/>
      <c r="E122" s="4"/>
      <c r="F122" s="13"/>
      <c r="G122" s="14" t="str">
        <f aca="false">IF(E122="","",YEAR(E122)&amp;"-"&amp;TEXT(MONTH(E122),"00"))</f>
        <v/>
      </c>
      <c r="H122" s="15" t="str">
        <f aca="false">IFERROR(INDEX(Projekte!B$5:B$24,MATCH(1,INDEX((ISNUMBER(SEARCH(Projekte!A$5:A$24,A122)))*(Projekte!A$5:A$24&lt;&gt;""),0),0)),"Kein Match")</f>
        <v>Kein Match</v>
      </c>
      <c r="I122" s="15" t="str">
        <f aca="false">IFERROR(INDEX(Projekte!A$5:A$24,MATCH(1,INDEX((ISNUMBER(SEARCH(Projekte!A$5:A$24,A122)))*(Projekte!A$5:A$24&lt;&gt;""),0),0)),"Kein Match")</f>
        <v>Kein Match</v>
      </c>
    </row>
    <row r="123" customFormat="false" ht="15" hidden="false" customHeight="false" outlineLevel="0" collapsed="false">
      <c r="A123" s="4"/>
      <c r="B123" s="4"/>
      <c r="C123" s="4"/>
      <c r="D123" s="4"/>
      <c r="E123" s="4"/>
      <c r="F123" s="13"/>
      <c r="G123" s="14" t="str">
        <f aca="false">IF(E123="","",YEAR(E123)&amp;"-"&amp;TEXT(MONTH(E123),"00"))</f>
        <v/>
      </c>
      <c r="H123" s="15" t="str">
        <f aca="false">IFERROR(INDEX(Projekte!B$5:B$24,MATCH(1,INDEX((ISNUMBER(SEARCH(Projekte!A$5:A$24,A123)))*(Projekte!A$5:A$24&lt;&gt;""),0),0)),"Kein Match")</f>
        <v>Kein Match</v>
      </c>
      <c r="I123" s="15" t="str">
        <f aca="false">IFERROR(INDEX(Projekte!A$5:A$24,MATCH(1,INDEX((ISNUMBER(SEARCH(Projekte!A$5:A$24,A123)))*(Projekte!A$5:A$24&lt;&gt;""),0),0)),"Kein Match")</f>
        <v>Kein Match</v>
      </c>
    </row>
    <row r="124" customFormat="false" ht="15" hidden="false" customHeight="false" outlineLevel="0" collapsed="false">
      <c r="A124" s="4"/>
      <c r="B124" s="4"/>
      <c r="C124" s="4"/>
      <c r="D124" s="4"/>
      <c r="E124" s="4"/>
      <c r="F124" s="13"/>
      <c r="G124" s="14" t="str">
        <f aca="false">IF(E124="","",YEAR(E124)&amp;"-"&amp;TEXT(MONTH(E124),"00"))</f>
        <v/>
      </c>
      <c r="H124" s="15" t="str">
        <f aca="false">IFERROR(INDEX(Projekte!B$5:B$24,MATCH(1,INDEX((ISNUMBER(SEARCH(Projekte!A$5:A$24,A124)))*(Projekte!A$5:A$24&lt;&gt;""),0),0)),"Kein Match")</f>
        <v>Kein Match</v>
      </c>
      <c r="I124" s="15" t="str">
        <f aca="false">IFERROR(INDEX(Projekte!A$5:A$24,MATCH(1,INDEX((ISNUMBER(SEARCH(Projekte!A$5:A$24,A124)))*(Projekte!A$5:A$24&lt;&gt;""),0),0)),"Kein Match")</f>
        <v>Kein Match</v>
      </c>
    </row>
    <row r="125" customFormat="false" ht="15" hidden="false" customHeight="false" outlineLevel="0" collapsed="false">
      <c r="A125" s="4"/>
      <c r="B125" s="4"/>
      <c r="C125" s="4"/>
      <c r="D125" s="4"/>
      <c r="E125" s="4"/>
      <c r="F125" s="13"/>
      <c r="G125" s="14" t="str">
        <f aca="false">IF(E125="","",YEAR(E125)&amp;"-"&amp;TEXT(MONTH(E125),"00"))</f>
        <v/>
      </c>
      <c r="H125" s="15" t="str">
        <f aca="false">IFERROR(INDEX(Projekte!B$5:B$24,MATCH(1,INDEX((ISNUMBER(SEARCH(Projekte!A$5:A$24,A125)))*(Projekte!A$5:A$24&lt;&gt;""),0),0)),"Kein Match")</f>
        <v>Kein Match</v>
      </c>
      <c r="I125" s="15" t="str">
        <f aca="false">IFERROR(INDEX(Projekte!A$5:A$24,MATCH(1,INDEX((ISNUMBER(SEARCH(Projekte!A$5:A$24,A125)))*(Projekte!A$5:A$24&lt;&gt;""),0),0)),"Kein Match")</f>
        <v>Kein Match</v>
      </c>
    </row>
    <row r="126" customFormat="false" ht="15" hidden="false" customHeight="false" outlineLevel="0" collapsed="false">
      <c r="A126" s="4"/>
      <c r="B126" s="4"/>
      <c r="C126" s="4"/>
      <c r="D126" s="4"/>
      <c r="E126" s="4"/>
      <c r="F126" s="13"/>
      <c r="G126" s="14" t="str">
        <f aca="false">IF(E126="","",YEAR(E126)&amp;"-"&amp;TEXT(MONTH(E126),"00"))</f>
        <v/>
      </c>
      <c r="H126" s="15" t="str">
        <f aca="false">IFERROR(INDEX(Projekte!B$5:B$24,MATCH(1,INDEX((ISNUMBER(SEARCH(Projekte!A$5:A$24,A126)))*(Projekte!A$5:A$24&lt;&gt;""),0),0)),"Kein Match")</f>
        <v>Kein Match</v>
      </c>
      <c r="I126" s="15" t="str">
        <f aca="false">IFERROR(INDEX(Projekte!A$5:A$24,MATCH(1,INDEX((ISNUMBER(SEARCH(Projekte!A$5:A$24,A126)))*(Projekte!A$5:A$24&lt;&gt;""),0),0)),"Kein Match")</f>
        <v>Kein Match</v>
      </c>
    </row>
    <row r="127" customFormat="false" ht="15" hidden="false" customHeight="false" outlineLevel="0" collapsed="false">
      <c r="A127" s="4"/>
      <c r="B127" s="4"/>
      <c r="C127" s="4"/>
      <c r="D127" s="4"/>
      <c r="E127" s="4"/>
      <c r="F127" s="13"/>
      <c r="G127" s="14" t="str">
        <f aca="false">IF(E127="","",YEAR(E127)&amp;"-"&amp;TEXT(MONTH(E127),"00"))</f>
        <v/>
      </c>
      <c r="H127" s="15" t="str">
        <f aca="false">IFERROR(INDEX(Projekte!B$5:B$24,MATCH(1,INDEX((ISNUMBER(SEARCH(Projekte!A$5:A$24,A127)))*(Projekte!A$5:A$24&lt;&gt;""),0),0)),"Kein Match")</f>
        <v>Kein Match</v>
      </c>
      <c r="I127" s="15" t="str">
        <f aca="false">IFERROR(INDEX(Projekte!A$5:A$24,MATCH(1,INDEX((ISNUMBER(SEARCH(Projekte!A$5:A$24,A127)))*(Projekte!A$5:A$24&lt;&gt;""),0),0)),"Kein Match")</f>
        <v>Kein Match</v>
      </c>
    </row>
    <row r="128" customFormat="false" ht="15" hidden="false" customHeight="false" outlineLevel="0" collapsed="false">
      <c r="A128" s="4"/>
      <c r="B128" s="4"/>
      <c r="C128" s="4"/>
      <c r="D128" s="4"/>
      <c r="E128" s="4"/>
      <c r="F128" s="13"/>
      <c r="G128" s="14" t="str">
        <f aca="false">IF(E128="","",YEAR(E128)&amp;"-"&amp;TEXT(MONTH(E128),"00"))</f>
        <v/>
      </c>
      <c r="H128" s="15" t="str">
        <f aca="false">IFERROR(INDEX(Projekte!B$5:B$24,MATCH(1,INDEX((ISNUMBER(SEARCH(Projekte!A$5:A$24,A128)))*(Projekte!A$5:A$24&lt;&gt;""),0),0)),"Kein Match")</f>
        <v>Kein Match</v>
      </c>
      <c r="I128" s="15" t="str">
        <f aca="false">IFERROR(INDEX(Projekte!A$5:A$24,MATCH(1,INDEX((ISNUMBER(SEARCH(Projekte!A$5:A$24,A128)))*(Projekte!A$5:A$24&lt;&gt;""),0),0)),"Kein Match")</f>
        <v>Kein Match</v>
      </c>
    </row>
    <row r="129" customFormat="false" ht="15" hidden="false" customHeight="false" outlineLevel="0" collapsed="false">
      <c r="A129" s="4"/>
      <c r="B129" s="4"/>
      <c r="C129" s="4"/>
      <c r="D129" s="4"/>
      <c r="E129" s="4"/>
      <c r="F129" s="13"/>
      <c r="G129" s="14" t="str">
        <f aca="false">IF(E129="","",YEAR(E129)&amp;"-"&amp;TEXT(MONTH(E129),"00"))</f>
        <v/>
      </c>
      <c r="H129" s="15" t="str">
        <f aca="false">IFERROR(INDEX(Projekte!B$5:B$24,MATCH(1,INDEX((ISNUMBER(SEARCH(Projekte!A$5:A$24,A129)))*(Projekte!A$5:A$24&lt;&gt;""),0),0)),"Kein Match")</f>
        <v>Kein Match</v>
      </c>
      <c r="I129" s="15" t="str">
        <f aca="false">IFERROR(INDEX(Projekte!A$5:A$24,MATCH(1,INDEX((ISNUMBER(SEARCH(Projekte!A$5:A$24,A129)))*(Projekte!A$5:A$24&lt;&gt;""),0),0)),"Kein Match")</f>
        <v>Kein Match</v>
      </c>
    </row>
    <row r="130" customFormat="false" ht="15" hidden="false" customHeight="false" outlineLevel="0" collapsed="false">
      <c r="A130" s="4"/>
      <c r="B130" s="4"/>
      <c r="C130" s="4"/>
      <c r="D130" s="4"/>
      <c r="E130" s="4"/>
      <c r="F130" s="13"/>
      <c r="G130" s="14" t="str">
        <f aca="false">IF(E130="","",YEAR(E130)&amp;"-"&amp;TEXT(MONTH(E130),"00"))</f>
        <v/>
      </c>
      <c r="H130" s="15" t="str">
        <f aca="false">IFERROR(INDEX(Projekte!B$5:B$24,MATCH(1,INDEX((ISNUMBER(SEARCH(Projekte!A$5:A$24,A130)))*(Projekte!A$5:A$24&lt;&gt;""),0),0)),"Kein Match")</f>
        <v>Kein Match</v>
      </c>
      <c r="I130" s="15" t="str">
        <f aca="false">IFERROR(INDEX(Projekte!A$5:A$24,MATCH(1,INDEX((ISNUMBER(SEARCH(Projekte!A$5:A$24,A130)))*(Projekte!A$5:A$24&lt;&gt;""),0),0)),"Kein Match")</f>
        <v>Kein Match</v>
      </c>
    </row>
    <row r="131" customFormat="false" ht="15" hidden="false" customHeight="false" outlineLevel="0" collapsed="false">
      <c r="A131" s="4"/>
      <c r="B131" s="4"/>
      <c r="C131" s="4"/>
      <c r="D131" s="4"/>
      <c r="E131" s="4"/>
      <c r="F131" s="13"/>
      <c r="G131" s="14" t="str">
        <f aca="false">IF(E131="","",YEAR(E131)&amp;"-"&amp;TEXT(MONTH(E131),"00"))</f>
        <v/>
      </c>
      <c r="H131" s="15" t="str">
        <f aca="false">IFERROR(INDEX(Projekte!B$5:B$24,MATCH(1,INDEX((ISNUMBER(SEARCH(Projekte!A$5:A$24,A131)))*(Projekte!A$5:A$24&lt;&gt;""),0),0)),"Kein Match")</f>
        <v>Kein Match</v>
      </c>
      <c r="I131" s="15" t="str">
        <f aca="false">IFERROR(INDEX(Projekte!A$5:A$24,MATCH(1,INDEX((ISNUMBER(SEARCH(Projekte!A$5:A$24,A131)))*(Projekte!A$5:A$24&lt;&gt;""),0),0)),"Kein Match")</f>
        <v>Kein Match</v>
      </c>
    </row>
    <row r="132" customFormat="false" ht="15" hidden="false" customHeight="false" outlineLevel="0" collapsed="false">
      <c r="A132" s="4"/>
      <c r="B132" s="4"/>
      <c r="C132" s="4"/>
      <c r="D132" s="4"/>
      <c r="E132" s="4"/>
      <c r="F132" s="13"/>
      <c r="G132" s="14" t="str">
        <f aca="false">IF(E132="","",YEAR(E132)&amp;"-"&amp;TEXT(MONTH(E132),"00"))</f>
        <v/>
      </c>
      <c r="H132" s="15" t="str">
        <f aca="false">IFERROR(INDEX(Projekte!B$5:B$24,MATCH(1,INDEX((ISNUMBER(SEARCH(Projekte!A$5:A$24,A132)))*(Projekte!A$5:A$24&lt;&gt;""),0),0)),"Kein Match")</f>
        <v>Kein Match</v>
      </c>
      <c r="I132" s="15" t="str">
        <f aca="false">IFERROR(INDEX(Projekte!A$5:A$24,MATCH(1,INDEX((ISNUMBER(SEARCH(Projekte!A$5:A$24,A132)))*(Projekte!A$5:A$24&lt;&gt;""),0),0)),"Kein Match")</f>
        <v>Kein Match</v>
      </c>
    </row>
    <row r="133" customFormat="false" ht="15" hidden="false" customHeight="false" outlineLevel="0" collapsed="false">
      <c r="A133" s="4"/>
      <c r="B133" s="4"/>
      <c r="C133" s="4"/>
      <c r="D133" s="4"/>
      <c r="E133" s="4"/>
      <c r="F133" s="13"/>
      <c r="G133" s="14" t="str">
        <f aca="false">IF(E133="","",YEAR(E133)&amp;"-"&amp;TEXT(MONTH(E133),"00"))</f>
        <v/>
      </c>
      <c r="H133" s="15" t="str">
        <f aca="false">IFERROR(INDEX(Projekte!B$5:B$24,MATCH(1,INDEX((ISNUMBER(SEARCH(Projekte!A$5:A$24,A133)))*(Projekte!A$5:A$24&lt;&gt;""),0),0)),"Kein Match")</f>
        <v>Kein Match</v>
      </c>
      <c r="I133" s="15" t="str">
        <f aca="false">IFERROR(INDEX(Projekte!A$5:A$24,MATCH(1,INDEX((ISNUMBER(SEARCH(Projekte!A$5:A$24,A133)))*(Projekte!A$5:A$24&lt;&gt;""),0),0)),"Kein Match")</f>
        <v>Kein Match</v>
      </c>
    </row>
    <row r="134" customFormat="false" ht="15" hidden="false" customHeight="false" outlineLevel="0" collapsed="false">
      <c r="A134" s="4"/>
      <c r="B134" s="4"/>
      <c r="C134" s="4"/>
      <c r="D134" s="4"/>
      <c r="E134" s="4"/>
      <c r="F134" s="13"/>
      <c r="G134" s="14" t="str">
        <f aca="false">IF(E134="","",YEAR(E134)&amp;"-"&amp;TEXT(MONTH(E134),"00"))</f>
        <v/>
      </c>
      <c r="H134" s="15" t="str">
        <f aca="false">IFERROR(INDEX(Projekte!B$5:B$24,MATCH(1,INDEX((ISNUMBER(SEARCH(Projekte!A$5:A$24,A134)))*(Projekte!A$5:A$24&lt;&gt;""),0),0)),"Kein Match")</f>
        <v>Kein Match</v>
      </c>
      <c r="I134" s="15" t="str">
        <f aca="false">IFERROR(INDEX(Projekte!A$5:A$24,MATCH(1,INDEX((ISNUMBER(SEARCH(Projekte!A$5:A$24,A134)))*(Projekte!A$5:A$24&lt;&gt;""),0),0)),"Kein Match")</f>
        <v>Kein Match</v>
      </c>
    </row>
    <row r="135" customFormat="false" ht="15" hidden="false" customHeight="false" outlineLevel="0" collapsed="false">
      <c r="A135" s="4"/>
      <c r="B135" s="4"/>
      <c r="C135" s="4"/>
      <c r="D135" s="4"/>
      <c r="E135" s="4"/>
      <c r="F135" s="13"/>
      <c r="G135" s="14" t="str">
        <f aca="false">IF(E135="","",YEAR(E135)&amp;"-"&amp;TEXT(MONTH(E135),"00"))</f>
        <v/>
      </c>
      <c r="H135" s="15" t="str">
        <f aca="false">IFERROR(INDEX(Projekte!B$5:B$24,MATCH(1,INDEX((ISNUMBER(SEARCH(Projekte!A$5:A$24,A135)))*(Projekte!A$5:A$24&lt;&gt;""),0),0)),"Kein Match")</f>
        <v>Kein Match</v>
      </c>
      <c r="I135" s="15" t="str">
        <f aca="false">IFERROR(INDEX(Projekte!A$5:A$24,MATCH(1,INDEX((ISNUMBER(SEARCH(Projekte!A$5:A$24,A135)))*(Projekte!A$5:A$24&lt;&gt;""),0),0)),"Kein Match")</f>
        <v>Kein Match</v>
      </c>
    </row>
    <row r="136" customFormat="false" ht="15" hidden="false" customHeight="false" outlineLevel="0" collapsed="false">
      <c r="A136" s="4"/>
      <c r="B136" s="4"/>
      <c r="C136" s="4"/>
      <c r="D136" s="4"/>
      <c r="E136" s="4"/>
      <c r="F136" s="13"/>
      <c r="G136" s="14" t="str">
        <f aca="false">IF(E136="","",YEAR(E136)&amp;"-"&amp;TEXT(MONTH(E136),"00"))</f>
        <v/>
      </c>
      <c r="H136" s="15" t="str">
        <f aca="false">IFERROR(INDEX(Projekte!B$5:B$24,MATCH(1,INDEX((ISNUMBER(SEARCH(Projekte!A$5:A$24,A136)))*(Projekte!A$5:A$24&lt;&gt;""),0),0)),"Kein Match")</f>
        <v>Kein Match</v>
      </c>
      <c r="I136" s="15" t="str">
        <f aca="false">IFERROR(INDEX(Projekte!A$5:A$24,MATCH(1,INDEX((ISNUMBER(SEARCH(Projekte!A$5:A$24,A136)))*(Projekte!A$5:A$24&lt;&gt;""),0),0)),"Kein Match")</f>
        <v>Kein Match</v>
      </c>
    </row>
    <row r="137" customFormat="false" ht="15" hidden="false" customHeight="false" outlineLevel="0" collapsed="false">
      <c r="A137" s="4"/>
      <c r="B137" s="4"/>
      <c r="C137" s="4"/>
      <c r="D137" s="4"/>
      <c r="E137" s="4"/>
      <c r="F137" s="13"/>
      <c r="G137" s="14" t="str">
        <f aca="false">IF(E137="","",YEAR(E137)&amp;"-"&amp;TEXT(MONTH(E137),"00"))</f>
        <v/>
      </c>
      <c r="H137" s="15" t="str">
        <f aca="false">IFERROR(INDEX(Projekte!B$5:B$24,MATCH(1,INDEX((ISNUMBER(SEARCH(Projekte!A$5:A$24,A137)))*(Projekte!A$5:A$24&lt;&gt;""),0),0)),"Kein Match")</f>
        <v>Kein Match</v>
      </c>
      <c r="I137" s="15" t="str">
        <f aca="false">IFERROR(INDEX(Projekte!A$5:A$24,MATCH(1,INDEX((ISNUMBER(SEARCH(Projekte!A$5:A$24,A137)))*(Projekte!A$5:A$24&lt;&gt;""),0),0)),"Kein Match")</f>
        <v>Kein Match</v>
      </c>
    </row>
    <row r="138" customFormat="false" ht="15" hidden="false" customHeight="false" outlineLevel="0" collapsed="false">
      <c r="A138" s="4"/>
      <c r="B138" s="4"/>
      <c r="C138" s="4"/>
      <c r="D138" s="4"/>
      <c r="E138" s="4"/>
      <c r="F138" s="13"/>
      <c r="G138" s="14" t="str">
        <f aca="false">IF(E138="","",YEAR(E138)&amp;"-"&amp;TEXT(MONTH(E138),"00"))</f>
        <v/>
      </c>
      <c r="H138" s="15" t="str">
        <f aca="false">IFERROR(INDEX(Projekte!B$5:B$24,MATCH(1,INDEX((ISNUMBER(SEARCH(Projekte!A$5:A$24,A138)))*(Projekte!A$5:A$24&lt;&gt;""),0),0)),"Kein Match")</f>
        <v>Kein Match</v>
      </c>
      <c r="I138" s="15" t="str">
        <f aca="false">IFERROR(INDEX(Projekte!A$5:A$24,MATCH(1,INDEX((ISNUMBER(SEARCH(Projekte!A$5:A$24,A138)))*(Projekte!A$5:A$24&lt;&gt;""),0),0)),"Kein Match")</f>
        <v>Kein Match</v>
      </c>
    </row>
    <row r="139" customFormat="false" ht="15" hidden="false" customHeight="false" outlineLevel="0" collapsed="false">
      <c r="A139" s="4"/>
      <c r="B139" s="4"/>
      <c r="C139" s="4"/>
      <c r="D139" s="4"/>
      <c r="E139" s="4"/>
      <c r="F139" s="13"/>
      <c r="G139" s="14" t="str">
        <f aca="false">IF(E139="","",YEAR(E139)&amp;"-"&amp;TEXT(MONTH(E139),"00"))</f>
        <v/>
      </c>
      <c r="H139" s="15" t="str">
        <f aca="false">IFERROR(INDEX(Projekte!B$5:B$24,MATCH(1,INDEX((ISNUMBER(SEARCH(Projekte!A$5:A$24,A139)))*(Projekte!A$5:A$24&lt;&gt;""),0),0)),"Kein Match")</f>
        <v>Kein Match</v>
      </c>
      <c r="I139" s="15" t="str">
        <f aca="false">IFERROR(INDEX(Projekte!A$5:A$24,MATCH(1,INDEX((ISNUMBER(SEARCH(Projekte!A$5:A$24,A139)))*(Projekte!A$5:A$24&lt;&gt;""),0),0)),"Kein Match")</f>
        <v>Kein Match</v>
      </c>
    </row>
    <row r="140" customFormat="false" ht="15" hidden="false" customHeight="false" outlineLevel="0" collapsed="false">
      <c r="A140" s="4"/>
      <c r="B140" s="4"/>
      <c r="C140" s="4"/>
      <c r="D140" s="4"/>
      <c r="E140" s="4"/>
      <c r="F140" s="13"/>
      <c r="G140" s="14" t="str">
        <f aca="false">IF(E140="","",YEAR(E140)&amp;"-"&amp;TEXT(MONTH(E140),"00"))</f>
        <v/>
      </c>
      <c r="H140" s="15" t="str">
        <f aca="false">IFERROR(INDEX(Projekte!B$5:B$24,MATCH(1,INDEX((ISNUMBER(SEARCH(Projekte!A$5:A$24,A140)))*(Projekte!A$5:A$24&lt;&gt;""),0),0)),"Kein Match")</f>
        <v>Kein Match</v>
      </c>
      <c r="I140" s="15" t="str">
        <f aca="false">IFERROR(INDEX(Projekte!A$5:A$24,MATCH(1,INDEX((ISNUMBER(SEARCH(Projekte!A$5:A$24,A140)))*(Projekte!A$5:A$24&lt;&gt;""),0),0)),"Kein Match")</f>
        <v>Kein Match</v>
      </c>
    </row>
    <row r="141" customFormat="false" ht="15" hidden="false" customHeight="false" outlineLevel="0" collapsed="false">
      <c r="A141" s="4"/>
      <c r="B141" s="4"/>
      <c r="C141" s="4"/>
      <c r="D141" s="4"/>
      <c r="E141" s="4"/>
      <c r="F141" s="13"/>
      <c r="G141" s="14" t="str">
        <f aca="false">IF(E141="","",YEAR(E141)&amp;"-"&amp;TEXT(MONTH(E141),"00"))</f>
        <v/>
      </c>
      <c r="H141" s="15" t="str">
        <f aca="false">IFERROR(INDEX(Projekte!B$5:B$24,MATCH(1,INDEX((ISNUMBER(SEARCH(Projekte!A$5:A$24,A141)))*(Projekte!A$5:A$24&lt;&gt;""),0),0)),"Kein Match")</f>
        <v>Kein Match</v>
      </c>
      <c r="I141" s="15" t="str">
        <f aca="false">IFERROR(INDEX(Projekte!A$5:A$24,MATCH(1,INDEX((ISNUMBER(SEARCH(Projekte!A$5:A$24,A141)))*(Projekte!A$5:A$24&lt;&gt;""),0),0)),"Kein Match")</f>
        <v>Kein Match</v>
      </c>
    </row>
    <row r="142" customFormat="false" ht="15" hidden="false" customHeight="false" outlineLevel="0" collapsed="false">
      <c r="A142" s="4"/>
      <c r="B142" s="4"/>
      <c r="C142" s="4"/>
      <c r="D142" s="4"/>
      <c r="E142" s="4"/>
      <c r="F142" s="13"/>
      <c r="G142" s="14" t="str">
        <f aca="false">IF(E142="","",YEAR(E142)&amp;"-"&amp;TEXT(MONTH(E142),"00"))</f>
        <v/>
      </c>
      <c r="H142" s="15" t="str">
        <f aca="false">IFERROR(INDEX(Projekte!B$5:B$24,MATCH(1,INDEX((ISNUMBER(SEARCH(Projekte!A$5:A$24,A142)))*(Projekte!A$5:A$24&lt;&gt;""),0),0)),"Kein Match")</f>
        <v>Kein Match</v>
      </c>
      <c r="I142" s="15" t="str">
        <f aca="false">IFERROR(INDEX(Projekte!A$5:A$24,MATCH(1,INDEX((ISNUMBER(SEARCH(Projekte!A$5:A$24,A142)))*(Projekte!A$5:A$24&lt;&gt;""),0),0)),"Kein Match")</f>
        <v>Kein Match</v>
      </c>
    </row>
    <row r="143" customFormat="false" ht="15" hidden="false" customHeight="false" outlineLevel="0" collapsed="false">
      <c r="A143" s="4"/>
      <c r="B143" s="4"/>
      <c r="C143" s="4"/>
      <c r="D143" s="4"/>
      <c r="E143" s="4"/>
      <c r="F143" s="13"/>
      <c r="G143" s="14" t="str">
        <f aca="false">IF(E143="","",YEAR(E143)&amp;"-"&amp;TEXT(MONTH(E143),"00"))</f>
        <v/>
      </c>
      <c r="H143" s="15" t="str">
        <f aca="false">IFERROR(INDEX(Projekte!B$5:B$24,MATCH(1,INDEX((ISNUMBER(SEARCH(Projekte!A$5:A$24,A143)))*(Projekte!A$5:A$24&lt;&gt;""),0),0)),"Kein Match")</f>
        <v>Kein Match</v>
      </c>
      <c r="I143" s="15" t="str">
        <f aca="false">IFERROR(INDEX(Projekte!A$5:A$24,MATCH(1,INDEX((ISNUMBER(SEARCH(Projekte!A$5:A$24,A143)))*(Projekte!A$5:A$24&lt;&gt;""),0),0)),"Kein Match")</f>
        <v>Kein Match</v>
      </c>
    </row>
    <row r="144" customFormat="false" ht="15" hidden="false" customHeight="false" outlineLevel="0" collapsed="false">
      <c r="A144" s="4"/>
      <c r="B144" s="4"/>
      <c r="C144" s="4"/>
      <c r="D144" s="4"/>
      <c r="E144" s="4"/>
      <c r="F144" s="13"/>
      <c r="G144" s="14" t="str">
        <f aca="false">IF(E144="","",YEAR(E144)&amp;"-"&amp;TEXT(MONTH(E144),"00"))</f>
        <v/>
      </c>
      <c r="H144" s="15" t="str">
        <f aca="false">IFERROR(INDEX(Projekte!B$5:B$24,MATCH(1,INDEX((ISNUMBER(SEARCH(Projekte!A$5:A$24,A144)))*(Projekte!A$5:A$24&lt;&gt;""),0),0)),"Kein Match")</f>
        <v>Kein Match</v>
      </c>
      <c r="I144" s="15" t="str">
        <f aca="false">IFERROR(INDEX(Projekte!A$5:A$24,MATCH(1,INDEX((ISNUMBER(SEARCH(Projekte!A$5:A$24,A144)))*(Projekte!A$5:A$24&lt;&gt;""),0),0)),"Kein Match")</f>
        <v>Kein Match</v>
      </c>
    </row>
    <row r="145" customFormat="false" ht="15" hidden="false" customHeight="false" outlineLevel="0" collapsed="false">
      <c r="A145" s="4"/>
      <c r="B145" s="4"/>
      <c r="C145" s="4"/>
      <c r="D145" s="4"/>
      <c r="E145" s="4"/>
      <c r="F145" s="13"/>
      <c r="G145" s="14" t="str">
        <f aca="false">IF(E145="","",YEAR(E145)&amp;"-"&amp;TEXT(MONTH(E145),"00"))</f>
        <v/>
      </c>
      <c r="H145" s="15" t="str">
        <f aca="false">IFERROR(INDEX(Projekte!B$5:B$24,MATCH(1,INDEX((ISNUMBER(SEARCH(Projekte!A$5:A$24,A145)))*(Projekte!A$5:A$24&lt;&gt;""),0),0)),"Kein Match")</f>
        <v>Kein Match</v>
      </c>
      <c r="I145" s="15" t="str">
        <f aca="false">IFERROR(INDEX(Projekte!A$5:A$24,MATCH(1,INDEX((ISNUMBER(SEARCH(Projekte!A$5:A$24,A145)))*(Projekte!A$5:A$24&lt;&gt;""),0),0)),"Kein Match")</f>
        <v>Kein Match</v>
      </c>
    </row>
    <row r="146" customFormat="false" ht="15" hidden="false" customHeight="false" outlineLevel="0" collapsed="false">
      <c r="A146" s="4"/>
      <c r="B146" s="4"/>
      <c r="C146" s="4"/>
      <c r="D146" s="4"/>
      <c r="E146" s="4"/>
      <c r="F146" s="13"/>
      <c r="G146" s="14" t="str">
        <f aca="false">IF(E146="","",YEAR(E146)&amp;"-"&amp;TEXT(MONTH(E146),"00"))</f>
        <v/>
      </c>
      <c r="H146" s="15" t="str">
        <f aca="false">IFERROR(INDEX(Projekte!B$5:B$24,MATCH(1,INDEX((ISNUMBER(SEARCH(Projekte!A$5:A$24,A146)))*(Projekte!A$5:A$24&lt;&gt;""),0),0)),"Kein Match")</f>
        <v>Kein Match</v>
      </c>
      <c r="I146" s="15" t="str">
        <f aca="false">IFERROR(INDEX(Projekte!A$5:A$24,MATCH(1,INDEX((ISNUMBER(SEARCH(Projekte!A$5:A$24,A146)))*(Projekte!A$5:A$24&lt;&gt;""),0),0)),"Kein Match")</f>
        <v>Kein Match</v>
      </c>
    </row>
    <row r="147" customFormat="false" ht="15" hidden="false" customHeight="false" outlineLevel="0" collapsed="false">
      <c r="A147" s="4"/>
      <c r="B147" s="4"/>
      <c r="C147" s="4"/>
      <c r="D147" s="4"/>
      <c r="E147" s="4"/>
      <c r="F147" s="13"/>
      <c r="G147" s="14" t="str">
        <f aca="false">IF(E147="","",YEAR(E147)&amp;"-"&amp;TEXT(MONTH(E147),"00"))</f>
        <v/>
      </c>
      <c r="H147" s="15" t="str">
        <f aca="false">IFERROR(INDEX(Projekte!B$5:B$24,MATCH(1,INDEX((ISNUMBER(SEARCH(Projekte!A$5:A$24,A147)))*(Projekte!A$5:A$24&lt;&gt;""),0),0)),"Kein Match")</f>
        <v>Kein Match</v>
      </c>
      <c r="I147" s="15" t="str">
        <f aca="false">IFERROR(INDEX(Projekte!A$5:A$24,MATCH(1,INDEX((ISNUMBER(SEARCH(Projekte!A$5:A$24,A147)))*(Projekte!A$5:A$24&lt;&gt;""),0),0)),"Kein Match")</f>
        <v>Kein Match</v>
      </c>
    </row>
    <row r="148" customFormat="false" ht="15" hidden="false" customHeight="false" outlineLevel="0" collapsed="false">
      <c r="A148" s="4"/>
      <c r="B148" s="4"/>
      <c r="C148" s="4"/>
      <c r="D148" s="4"/>
      <c r="E148" s="4"/>
      <c r="F148" s="13"/>
      <c r="G148" s="14" t="str">
        <f aca="false">IF(E148="","",YEAR(E148)&amp;"-"&amp;TEXT(MONTH(E148),"00"))</f>
        <v/>
      </c>
      <c r="H148" s="15" t="str">
        <f aca="false">IFERROR(INDEX(Projekte!B$5:B$24,MATCH(1,INDEX((ISNUMBER(SEARCH(Projekte!A$5:A$24,A148)))*(Projekte!A$5:A$24&lt;&gt;""),0),0)),"Kein Match")</f>
        <v>Kein Match</v>
      </c>
      <c r="I148" s="15" t="str">
        <f aca="false">IFERROR(INDEX(Projekte!A$5:A$24,MATCH(1,INDEX((ISNUMBER(SEARCH(Projekte!A$5:A$24,A148)))*(Projekte!A$5:A$24&lt;&gt;""),0),0)),"Kein Match")</f>
        <v>Kein Match</v>
      </c>
    </row>
    <row r="149" customFormat="false" ht="15" hidden="false" customHeight="false" outlineLevel="0" collapsed="false">
      <c r="A149" s="4"/>
      <c r="B149" s="4"/>
      <c r="C149" s="4"/>
      <c r="D149" s="4"/>
      <c r="E149" s="4"/>
      <c r="F149" s="13"/>
      <c r="G149" s="14" t="str">
        <f aca="false">IF(E149="","",YEAR(E149)&amp;"-"&amp;TEXT(MONTH(E149),"00"))</f>
        <v/>
      </c>
      <c r="H149" s="15" t="str">
        <f aca="false">IFERROR(INDEX(Projekte!B$5:B$24,MATCH(1,INDEX((ISNUMBER(SEARCH(Projekte!A$5:A$24,A149)))*(Projekte!A$5:A$24&lt;&gt;""),0),0)),"Kein Match")</f>
        <v>Kein Match</v>
      </c>
      <c r="I149" s="15" t="str">
        <f aca="false">IFERROR(INDEX(Projekte!A$5:A$24,MATCH(1,INDEX((ISNUMBER(SEARCH(Projekte!A$5:A$24,A149)))*(Projekte!A$5:A$24&lt;&gt;""),0),0)),"Kein Match")</f>
        <v>Kein Match</v>
      </c>
    </row>
    <row r="150" customFormat="false" ht="15" hidden="false" customHeight="false" outlineLevel="0" collapsed="false">
      <c r="A150" s="4"/>
      <c r="B150" s="4"/>
      <c r="C150" s="4"/>
      <c r="D150" s="4"/>
      <c r="E150" s="4"/>
      <c r="F150" s="13"/>
      <c r="G150" s="14" t="str">
        <f aca="false">IF(E150="","",YEAR(E150)&amp;"-"&amp;TEXT(MONTH(E150),"00"))</f>
        <v/>
      </c>
      <c r="H150" s="15" t="str">
        <f aca="false">IFERROR(INDEX(Projekte!B$5:B$24,MATCH(1,INDEX((ISNUMBER(SEARCH(Projekte!A$5:A$24,A150)))*(Projekte!A$5:A$24&lt;&gt;""),0),0)),"Kein Match")</f>
        <v>Kein Match</v>
      </c>
      <c r="I150" s="15" t="str">
        <f aca="false">IFERROR(INDEX(Projekte!A$5:A$24,MATCH(1,INDEX((ISNUMBER(SEARCH(Projekte!A$5:A$24,A150)))*(Projekte!A$5:A$24&lt;&gt;""),0),0)),"Kein Match")</f>
        <v>Kein Match</v>
      </c>
    </row>
    <row r="151" customFormat="false" ht="15" hidden="false" customHeight="false" outlineLevel="0" collapsed="false">
      <c r="A151" s="4"/>
      <c r="B151" s="4"/>
      <c r="C151" s="4"/>
      <c r="D151" s="4"/>
      <c r="E151" s="4"/>
      <c r="F151" s="13"/>
      <c r="G151" s="14" t="str">
        <f aca="false">IF(E151="","",YEAR(E151)&amp;"-"&amp;TEXT(MONTH(E151),"00"))</f>
        <v/>
      </c>
      <c r="H151" s="15" t="str">
        <f aca="false">IFERROR(INDEX(Projekte!B$5:B$24,MATCH(1,INDEX((ISNUMBER(SEARCH(Projekte!A$5:A$24,A151)))*(Projekte!A$5:A$24&lt;&gt;""),0),0)),"Kein Match")</f>
        <v>Kein Match</v>
      </c>
      <c r="I151" s="15" t="str">
        <f aca="false">IFERROR(INDEX(Projekte!A$5:A$24,MATCH(1,INDEX((ISNUMBER(SEARCH(Projekte!A$5:A$24,A151)))*(Projekte!A$5:A$24&lt;&gt;""),0),0)),"Kein Match")</f>
        <v>Kein Match</v>
      </c>
    </row>
    <row r="152" customFormat="false" ht="15" hidden="false" customHeight="false" outlineLevel="0" collapsed="false">
      <c r="A152" s="4"/>
      <c r="B152" s="4"/>
      <c r="C152" s="4"/>
      <c r="D152" s="4"/>
      <c r="E152" s="4"/>
      <c r="F152" s="13"/>
      <c r="G152" s="14" t="str">
        <f aca="false">IF(E152="","",YEAR(E152)&amp;"-"&amp;TEXT(MONTH(E152),"00"))</f>
        <v/>
      </c>
      <c r="H152" s="15" t="str">
        <f aca="false">IFERROR(INDEX(Projekte!B$5:B$24,MATCH(1,INDEX((ISNUMBER(SEARCH(Projekte!A$5:A$24,A152)))*(Projekte!A$5:A$24&lt;&gt;""),0),0)),"Kein Match")</f>
        <v>Kein Match</v>
      </c>
      <c r="I152" s="15" t="str">
        <f aca="false">IFERROR(INDEX(Projekte!A$5:A$24,MATCH(1,INDEX((ISNUMBER(SEARCH(Projekte!A$5:A$24,A152)))*(Projekte!A$5:A$24&lt;&gt;""),0),0)),"Kein Match")</f>
        <v>Kein Match</v>
      </c>
    </row>
    <row r="153" customFormat="false" ht="15" hidden="false" customHeight="false" outlineLevel="0" collapsed="false">
      <c r="A153" s="4"/>
      <c r="B153" s="4"/>
      <c r="C153" s="4"/>
      <c r="D153" s="4"/>
      <c r="E153" s="4"/>
      <c r="F153" s="13"/>
      <c r="G153" s="14" t="str">
        <f aca="false">IF(E153="","",YEAR(E153)&amp;"-"&amp;TEXT(MONTH(E153),"00"))</f>
        <v/>
      </c>
      <c r="H153" s="15" t="str">
        <f aca="false">IFERROR(INDEX(Projekte!B$5:B$24,MATCH(1,INDEX((ISNUMBER(SEARCH(Projekte!A$5:A$24,A153)))*(Projekte!A$5:A$24&lt;&gt;""),0),0)),"Kein Match")</f>
        <v>Kein Match</v>
      </c>
      <c r="I153" s="15" t="str">
        <f aca="false">IFERROR(INDEX(Projekte!A$5:A$24,MATCH(1,INDEX((ISNUMBER(SEARCH(Projekte!A$5:A$24,A153)))*(Projekte!A$5:A$24&lt;&gt;""),0),0)),"Kein Match")</f>
        <v>Kein Match</v>
      </c>
    </row>
    <row r="154" customFormat="false" ht="15" hidden="false" customHeight="false" outlineLevel="0" collapsed="false">
      <c r="A154" s="4"/>
      <c r="B154" s="4"/>
      <c r="C154" s="4"/>
      <c r="D154" s="4"/>
      <c r="E154" s="4"/>
      <c r="F154" s="13"/>
      <c r="G154" s="14" t="str">
        <f aca="false">IF(E154="","",YEAR(E154)&amp;"-"&amp;TEXT(MONTH(E154),"00"))</f>
        <v/>
      </c>
      <c r="H154" s="15" t="str">
        <f aca="false">IFERROR(INDEX(Projekte!B$5:B$24,MATCH(1,INDEX((ISNUMBER(SEARCH(Projekte!A$5:A$24,A154)))*(Projekte!A$5:A$24&lt;&gt;""),0),0)),"Kein Match")</f>
        <v>Kein Match</v>
      </c>
      <c r="I154" s="15" t="str">
        <f aca="false">IFERROR(INDEX(Projekte!A$5:A$24,MATCH(1,INDEX((ISNUMBER(SEARCH(Projekte!A$5:A$24,A154)))*(Projekte!A$5:A$24&lt;&gt;""),0),0)),"Kein Match")</f>
        <v>Kein Match</v>
      </c>
    </row>
    <row r="155" customFormat="false" ht="15" hidden="false" customHeight="false" outlineLevel="0" collapsed="false">
      <c r="A155" s="4"/>
      <c r="B155" s="4"/>
      <c r="C155" s="4"/>
      <c r="D155" s="4"/>
      <c r="E155" s="4"/>
      <c r="F155" s="13"/>
      <c r="G155" s="14" t="str">
        <f aca="false">IF(E155="","",YEAR(E155)&amp;"-"&amp;TEXT(MONTH(E155),"00"))</f>
        <v/>
      </c>
      <c r="H155" s="15" t="str">
        <f aca="false">IFERROR(INDEX(Projekte!B$5:B$24,MATCH(1,INDEX((ISNUMBER(SEARCH(Projekte!A$5:A$24,A155)))*(Projekte!A$5:A$24&lt;&gt;""),0),0)),"Kein Match")</f>
        <v>Kein Match</v>
      </c>
      <c r="I155" s="15" t="str">
        <f aca="false">IFERROR(INDEX(Projekte!A$5:A$24,MATCH(1,INDEX((ISNUMBER(SEARCH(Projekte!A$5:A$24,A155)))*(Projekte!A$5:A$24&lt;&gt;""),0),0)),"Kein Match")</f>
        <v>Kein Match</v>
      </c>
    </row>
    <row r="156" customFormat="false" ht="15" hidden="false" customHeight="false" outlineLevel="0" collapsed="false">
      <c r="A156" s="4"/>
      <c r="B156" s="4"/>
      <c r="C156" s="4"/>
      <c r="D156" s="4"/>
      <c r="E156" s="4"/>
      <c r="F156" s="13"/>
      <c r="G156" s="14" t="str">
        <f aca="false">IF(E156="","",YEAR(E156)&amp;"-"&amp;TEXT(MONTH(E156),"00"))</f>
        <v/>
      </c>
      <c r="H156" s="15" t="str">
        <f aca="false">IFERROR(INDEX(Projekte!B$5:B$24,MATCH(1,INDEX((ISNUMBER(SEARCH(Projekte!A$5:A$24,A156)))*(Projekte!A$5:A$24&lt;&gt;""),0),0)),"Kein Match")</f>
        <v>Kein Match</v>
      </c>
      <c r="I156" s="15" t="str">
        <f aca="false">IFERROR(INDEX(Projekte!A$5:A$24,MATCH(1,INDEX((ISNUMBER(SEARCH(Projekte!A$5:A$24,A156)))*(Projekte!A$5:A$24&lt;&gt;""),0),0)),"Kein Match")</f>
        <v>Kein Match</v>
      </c>
    </row>
    <row r="157" customFormat="false" ht="15" hidden="false" customHeight="false" outlineLevel="0" collapsed="false">
      <c r="A157" s="4"/>
      <c r="B157" s="4"/>
      <c r="C157" s="4"/>
      <c r="D157" s="4"/>
      <c r="E157" s="4"/>
      <c r="F157" s="13"/>
      <c r="G157" s="14" t="str">
        <f aca="false">IF(E157="","",YEAR(E157)&amp;"-"&amp;TEXT(MONTH(E157),"00"))</f>
        <v/>
      </c>
      <c r="H157" s="15" t="str">
        <f aca="false">IFERROR(INDEX(Projekte!B$5:B$24,MATCH(1,INDEX((ISNUMBER(SEARCH(Projekte!A$5:A$24,A157)))*(Projekte!A$5:A$24&lt;&gt;""),0),0)),"Kein Match")</f>
        <v>Kein Match</v>
      </c>
      <c r="I157" s="15" t="str">
        <f aca="false">IFERROR(INDEX(Projekte!A$5:A$24,MATCH(1,INDEX((ISNUMBER(SEARCH(Projekte!A$5:A$24,A157)))*(Projekte!A$5:A$24&lt;&gt;""),0),0)),"Kein Match")</f>
        <v>Kein Match</v>
      </c>
    </row>
    <row r="158" customFormat="false" ht="15" hidden="false" customHeight="false" outlineLevel="0" collapsed="false">
      <c r="A158" s="4"/>
      <c r="B158" s="4"/>
      <c r="C158" s="4"/>
      <c r="D158" s="4"/>
      <c r="E158" s="4"/>
      <c r="F158" s="13"/>
      <c r="G158" s="14" t="str">
        <f aca="false">IF(E158="","",YEAR(E158)&amp;"-"&amp;TEXT(MONTH(E158),"00"))</f>
        <v/>
      </c>
      <c r="H158" s="15" t="str">
        <f aca="false">IFERROR(INDEX(Projekte!B$5:B$24,MATCH(1,INDEX((ISNUMBER(SEARCH(Projekte!A$5:A$24,A158)))*(Projekte!A$5:A$24&lt;&gt;""),0),0)),"Kein Match")</f>
        <v>Kein Match</v>
      </c>
      <c r="I158" s="15" t="str">
        <f aca="false">IFERROR(INDEX(Projekte!A$5:A$24,MATCH(1,INDEX((ISNUMBER(SEARCH(Projekte!A$5:A$24,A158)))*(Projekte!A$5:A$24&lt;&gt;""),0),0)),"Kein Match")</f>
        <v>Kein Match</v>
      </c>
    </row>
    <row r="159" customFormat="false" ht="15" hidden="false" customHeight="false" outlineLevel="0" collapsed="false">
      <c r="A159" s="4"/>
      <c r="B159" s="4"/>
      <c r="C159" s="4"/>
      <c r="D159" s="4"/>
      <c r="E159" s="4"/>
      <c r="F159" s="13"/>
      <c r="G159" s="14" t="str">
        <f aca="false">IF(E159="","",YEAR(E159)&amp;"-"&amp;TEXT(MONTH(E159),"00"))</f>
        <v/>
      </c>
      <c r="H159" s="15" t="str">
        <f aca="false">IFERROR(INDEX(Projekte!B$5:B$24,MATCH(1,INDEX((ISNUMBER(SEARCH(Projekte!A$5:A$24,A159)))*(Projekte!A$5:A$24&lt;&gt;""),0),0)),"Kein Match")</f>
        <v>Kein Match</v>
      </c>
      <c r="I159" s="15" t="str">
        <f aca="false">IFERROR(INDEX(Projekte!A$5:A$24,MATCH(1,INDEX((ISNUMBER(SEARCH(Projekte!A$5:A$24,A159)))*(Projekte!A$5:A$24&lt;&gt;""),0),0)),"Kein Match")</f>
        <v>Kein Match</v>
      </c>
    </row>
    <row r="160" customFormat="false" ht="15" hidden="false" customHeight="false" outlineLevel="0" collapsed="false">
      <c r="A160" s="4"/>
      <c r="B160" s="4"/>
      <c r="C160" s="4"/>
      <c r="D160" s="4"/>
      <c r="E160" s="4"/>
      <c r="F160" s="13"/>
      <c r="G160" s="14" t="str">
        <f aca="false">IF(E160="","",YEAR(E160)&amp;"-"&amp;TEXT(MONTH(E160),"00"))</f>
        <v/>
      </c>
      <c r="H160" s="15" t="str">
        <f aca="false">IFERROR(INDEX(Projekte!B$5:B$24,MATCH(1,INDEX((ISNUMBER(SEARCH(Projekte!A$5:A$24,A160)))*(Projekte!A$5:A$24&lt;&gt;""),0),0)),"Kein Match")</f>
        <v>Kein Match</v>
      </c>
      <c r="I160" s="15" t="str">
        <f aca="false">IFERROR(INDEX(Projekte!A$5:A$24,MATCH(1,INDEX((ISNUMBER(SEARCH(Projekte!A$5:A$24,A160)))*(Projekte!A$5:A$24&lt;&gt;""),0),0)),"Kein Match")</f>
        <v>Kein Match</v>
      </c>
    </row>
    <row r="161" customFormat="false" ht="15" hidden="false" customHeight="false" outlineLevel="0" collapsed="false">
      <c r="A161" s="4"/>
      <c r="B161" s="4"/>
      <c r="C161" s="4"/>
      <c r="D161" s="4"/>
      <c r="E161" s="4"/>
      <c r="F161" s="13"/>
      <c r="G161" s="14" t="str">
        <f aca="false">IF(E161="","",YEAR(E161)&amp;"-"&amp;TEXT(MONTH(E161),"00"))</f>
        <v/>
      </c>
      <c r="H161" s="15" t="str">
        <f aca="false">IFERROR(INDEX(Projekte!B$5:B$24,MATCH(1,INDEX((ISNUMBER(SEARCH(Projekte!A$5:A$24,A161)))*(Projekte!A$5:A$24&lt;&gt;""),0),0)),"Kein Match")</f>
        <v>Kein Match</v>
      </c>
      <c r="I161" s="15" t="str">
        <f aca="false">IFERROR(INDEX(Projekte!A$5:A$24,MATCH(1,INDEX((ISNUMBER(SEARCH(Projekte!A$5:A$24,A161)))*(Projekte!A$5:A$24&lt;&gt;""),0),0)),"Kein Match")</f>
        <v>Kein Match</v>
      </c>
    </row>
    <row r="162" customFormat="false" ht="15" hidden="false" customHeight="false" outlineLevel="0" collapsed="false">
      <c r="A162" s="4"/>
      <c r="B162" s="4"/>
      <c r="C162" s="4"/>
      <c r="D162" s="4"/>
      <c r="E162" s="4"/>
      <c r="F162" s="13"/>
      <c r="G162" s="14" t="str">
        <f aca="false">IF(E162="","",YEAR(E162)&amp;"-"&amp;TEXT(MONTH(E162),"00"))</f>
        <v/>
      </c>
      <c r="H162" s="15" t="str">
        <f aca="false">IFERROR(INDEX(Projekte!B$5:B$24,MATCH(1,INDEX((ISNUMBER(SEARCH(Projekte!A$5:A$24,A162)))*(Projekte!A$5:A$24&lt;&gt;""),0),0)),"Kein Match")</f>
        <v>Kein Match</v>
      </c>
      <c r="I162" s="15" t="str">
        <f aca="false">IFERROR(INDEX(Projekte!A$5:A$24,MATCH(1,INDEX((ISNUMBER(SEARCH(Projekte!A$5:A$24,A162)))*(Projekte!A$5:A$24&lt;&gt;""),0),0)),"Kein Match")</f>
        <v>Kein Match</v>
      </c>
    </row>
    <row r="163" customFormat="false" ht="15" hidden="false" customHeight="false" outlineLevel="0" collapsed="false">
      <c r="A163" s="4"/>
      <c r="B163" s="4"/>
      <c r="C163" s="4"/>
      <c r="D163" s="4"/>
      <c r="E163" s="4"/>
      <c r="F163" s="13"/>
      <c r="G163" s="14" t="str">
        <f aca="false">IF(E163="","",YEAR(E163)&amp;"-"&amp;TEXT(MONTH(E163),"00"))</f>
        <v/>
      </c>
      <c r="H163" s="15" t="str">
        <f aca="false">IFERROR(INDEX(Projekte!B$5:B$24,MATCH(1,INDEX((ISNUMBER(SEARCH(Projekte!A$5:A$24,A163)))*(Projekte!A$5:A$24&lt;&gt;""),0),0)),"Kein Match")</f>
        <v>Kein Match</v>
      </c>
      <c r="I163" s="15" t="str">
        <f aca="false">IFERROR(INDEX(Projekte!A$5:A$24,MATCH(1,INDEX((ISNUMBER(SEARCH(Projekte!A$5:A$24,A163)))*(Projekte!A$5:A$24&lt;&gt;""),0),0)),"Kein Match")</f>
        <v>Kein Match</v>
      </c>
    </row>
    <row r="164" customFormat="false" ht="15" hidden="false" customHeight="false" outlineLevel="0" collapsed="false">
      <c r="A164" s="4"/>
      <c r="B164" s="4"/>
      <c r="C164" s="4"/>
      <c r="D164" s="4"/>
      <c r="E164" s="4"/>
      <c r="F164" s="13"/>
      <c r="G164" s="14" t="str">
        <f aca="false">IF(E164="","",YEAR(E164)&amp;"-"&amp;TEXT(MONTH(E164),"00"))</f>
        <v/>
      </c>
      <c r="H164" s="15" t="str">
        <f aca="false">IFERROR(INDEX(Projekte!B$5:B$24,MATCH(1,INDEX((ISNUMBER(SEARCH(Projekte!A$5:A$24,A164)))*(Projekte!A$5:A$24&lt;&gt;""),0),0)),"Kein Match")</f>
        <v>Kein Match</v>
      </c>
      <c r="I164" s="15" t="str">
        <f aca="false">IFERROR(INDEX(Projekte!A$5:A$24,MATCH(1,INDEX((ISNUMBER(SEARCH(Projekte!A$5:A$24,A164)))*(Projekte!A$5:A$24&lt;&gt;""),0),0)),"Kein Match")</f>
        <v>Kein Match</v>
      </c>
    </row>
    <row r="165" customFormat="false" ht="15" hidden="false" customHeight="false" outlineLevel="0" collapsed="false">
      <c r="A165" s="4"/>
      <c r="B165" s="4"/>
      <c r="C165" s="4"/>
      <c r="D165" s="4"/>
      <c r="E165" s="4"/>
      <c r="F165" s="13"/>
      <c r="G165" s="14" t="str">
        <f aca="false">IF(E165="","",YEAR(E165)&amp;"-"&amp;TEXT(MONTH(E165),"00"))</f>
        <v/>
      </c>
      <c r="H165" s="15" t="str">
        <f aca="false">IFERROR(INDEX(Projekte!B$5:B$24,MATCH(1,INDEX((ISNUMBER(SEARCH(Projekte!A$5:A$24,A165)))*(Projekte!A$5:A$24&lt;&gt;""),0),0)),"Kein Match")</f>
        <v>Kein Match</v>
      </c>
      <c r="I165" s="15" t="str">
        <f aca="false">IFERROR(INDEX(Projekte!A$5:A$24,MATCH(1,INDEX((ISNUMBER(SEARCH(Projekte!A$5:A$24,A165)))*(Projekte!A$5:A$24&lt;&gt;""),0),0)),"Kein Match")</f>
        <v>Kein Match</v>
      </c>
    </row>
    <row r="166" customFormat="false" ht="15" hidden="false" customHeight="false" outlineLevel="0" collapsed="false">
      <c r="A166" s="4"/>
      <c r="B166" s="4"/>
      <c r="C166" s="4"/>
      <c r="D166" s="4"/>
      <c r="E166" s="4"/>
      <c r="F166" s="13"/>
      <c r="G166" s="14" t="str">
        <f aca="false">IF(E166="","",YEAR(E166)&amp;"-"&amp;TEXT(MONTH(E166),"00"))</f>
        <v/>
      </c>
      <c r="H166" s="15" t="str">
        <f aca="false">IFERROR(INDEX(Projekte!B$5:B$24,MATCH(1,INDEX((ISNUMBER(SEARCH(Projekte!A$5:A$24,A166)))*(Projekte!A$5:A$24&lt;&gt;""),0),0)),"Kein Match")</f>
        <v>Kein Match</v>
      </c>
      <c r="I166" s="15" t="str">
        <f aca="false">IFERROR(INDEX(Projekte!A$5:A$24,MATCH(1,INDEX((ISNUMBER(SEARCH(Projekte!A$5:A$24,A166)))*(Projekte!A$5:A$24&lt;&gt;""),0),0)),"Kein Match")</f>
        <v>Kein Match</v>
      </c>
    </row>
    <row r="167" customFormat="false" ht="15" hidden="false" customHeight="false" outlineLevel="0" collapsed="false">
      <c r="A167" s="4"/>
      <c r="B167" s="4"/>
      <c r="C167" s="4"/>
      <c r="D167" s="4"/>
      <c r="E167" s="4"/>
      <c r="F167" s="13"/>
      <c r="G167" s="14" t="str">
        <f aca="false">IF(E167="","",YEAR(E167)&amp;"-"&amp;TEXT(MONTH(E167),"00"))</f>
        <v/>
      </c>
      <c r="H167" s="15" t="str">
        <f aca="false">IFERROR(INDEX(Projekte!B$5:B$24,MATCH(1,INDEX((ISNUMBER(SEARCH(Projekte!A$5:A$24,A167)))*(Projekte!A$5:A$24&lt;&gt;""),0),0)),"Kein Match")</f>
        <v>Kein Match</v>
      </c>
      <c r="I167" s="15" t="str">
        <f aca="false">IFERROR(INDEX(Projekte!A$5:A$24,MATCH(1,INDEX((ISNUMBER(SEARCH(Projekte!A$5:A$24,A167)))*(Projekte!A$5:A$24&lt;&gt;""),0),0)),"Kein Match")</f>
        <v>Kein Match</v>
      </c>
    </row>
    <row r="168" customFormat="false" ht="15" hidden="false" customHeight="false" outlineLevel="0" collapsed="false">
      <c r="A168" s="4"/>
      <c r="B168" s="4"/>
      <c r="C168" s="4"/>
      <c r="D168" s="4"/>
      <c r="E168" s="4"/>
      <c r="F168" s="13"/>
      <c r="G168" s="14" t="str">
        <f aca="false">IF(E168="","",YEAR(E168)&amp;"-"&amp;TEXT(MONTH(E168),"00"))</f>
        <v/>
      </c>
      <c r="H168" s="15" t="str">
        <f aca="false">IFERROR(INDEX(Projekte!B$5:B$24,MATCH(1,INDEX((ISNUMBER(SEARCH(Projekte!A$5:A$24,A168)))*(Projekte!A$5:A$24&lt;&gt;""),0),0)),"Kein Match")</f>
        <v>Kein Match</v>
      </c>
      <c r="I168" s="15" t="str">
        <f aca="false">IFERROR(INDEX(Projekte!A$5:A$24,MATCH(1,INDEX((ISNUMBER(SEARCH(Projekte!A$5:A$24,A168)))*(Projekte!A$5:A$24&lt;&gt;""),0),0)),"Kein Match")</f>
        <v>Kein Match</v>
      </c>
    </row>
    <row r="169" customFormat="false" ht="15" hidden="false" customHeight="false" outlineLevel="0" collapsed="false">
      <c r="A169" s="4"/>
      <c r="B169" s="4"/>
      <c r="C169" s="4"/>
      <c r="D169" s="4"/>
      <c r="E169" s="4"/>
      <c r="F169" s="13"/>
      <c r="G169" s="14" t="str">
        <f aca="false">IF(E169="","",YEAR(E169)&amp;"-"&amp;TEXT(MONTH(E169),"00"))</f>
        <v/>
      </c>
      <c r="H169" s="15" t="str">
        <f aca="false">IFERROR(INDEX(Projekte!B$5:B$24,MATCH(1,INDEX((ISNUMBER(SEARCH(Projekte!A$5:A$24,A169)))*(Projekte!A$5:A$24&lt;&gt;""),0),0)),"Kein Match")</f>
        <v>Kein Match</v>
      </c>
      <c r="I169" s="15" t="str">
        <f aca="false">IFERROR(INDEX(Projekte!A$5:A$24,MATCH(1,INDEX((ISNUMBER(SEARCH(Projekte!A$5:A$24,A169)))*(Projekte!A$5:A$24&lt;&gt;""),0),0)),"Kein Match")</f>
        <v>Kein Match</v>
      </c>
    </row>
    <row r="170" customFormat="false" ht="15" hidden="false" customHeight="false" outlineLevel="0" collapsed="false">
      <c r="A170" s="4"/>
      <c r="B170" s="4"/>
      <c r="C170" s="4"/>
      <c r="D170" s="4"/>
      <c r="E170" s="4"/>
      <c r="F170" s="13"/>
      <c r="G170" s="14" t="str">
        <f aca="false">IF(E170="","",YEAR(E170)&amp;"-"&amp;TEXT(MONTH(E170),"00"))</f>
        <v/>
      </c>
      <c r="H170" s="15" t="str">
        <f aca="false">IFERROR(INDEX(Projekte!B$5:B$24,MATCH(1,INDEX((ISNUMBER(SEARCH(Projekte!A$5:A$24,A170)))*(Projekte!A$5:A$24&lt;&gt;""),0),0)),"Kein Match")</f>
        <v>Kein Match</v>
      </c>
      <c r="I170" s="15" t="str">
        <f aca="false">IFERROR(INDEX(Projekte!A$5:A$24,MATCH(1,INDEX((ISNUMBER(SEARCH(Projekte!A$5:A$24,A170)))*(Projekte!A$5:A$24&lt;&gt;""),0),0)),"Kein Match")</f>
        <v>Kein Match</v>
      </c>
    </row>
    <row r="171" customFormat="false" ht="15" hidden="false" customHeight="false" outlineLevel="0" collapsed="false">
      <c r="A171" s="4"/>
      <c r="B171" s="4"/>
      <c r="C171" s="4"/>
      <c r="D171" s="4"/>
      <c r="E171" s="4"/>
      <c r="F171" s="13"/>
      <c r="G171" s="14" t="str">
        <f aca="false">IF(E171="","",YEAR(E171)&amp;"-"&amp;TEXT(MONTH(E171),"00"))</f>
        <v/>
      </c>
      <c r="H171" s="15" t="str">
        <f aca="false">IFERROR(INDEX(Projekte!B$5:B$24,MATCH(1,INDEX((ISNUMBER(SEARCH(Projekte!A$5:A$24,A171)))*(Projekte!A$5:A$24&lt;&gt;""),0),0)),"Kein Match")</f>
        <v>Kein Match</v>
      </c>
      <c r="I171" s="15" t="str">
        <f aca="false">IFERROR(INDEX(Projekte!A$5:A$24,MATCH(1,INDEX((ISNUMBER(SEARCH(Projekte!A$5:A$24,A171)))*(Projekte!A$5:A$24&lt;&gt;""),0),0)),"Kein Match")</f>
        <v>Kein Match</v>
      </c>
    </row>
    <row r="172" customFormat="false" ht="15" hidden="false" customHeight="false" outlineLevel="0" collapsed="false">
      <c r="A172" s="4"/>
      <c r="B172" s="4"/>
      <c r="C172" s="4"/>
      <c r="D172" s="4"/>
      <c r="E172" s="4"/>
      <c r="F172" s="13"/>
      <c r="G172" s="14" t="str">
        <f aca="false">IF(E172="","",YEAR(E172)&amp;"-"&amp;TEXT(MONTH(E172),"00"))</f>
        <v/>
      </c>
      <c r="H172" s="15" t="str">
        <f aca="false">IFERROR(INDEX(Projekte!B$5:B$24,MATCH(1,INDEX((ISNUMBER(SEARCH(Projekte!A$5:A$24,A172)))*(Projekte!A$5:A$24&lt;&gt;""),0),0)),"Kein Match")</f>
        <v>Kein Match</v>
      </c>
      <c r="I172" s="15" t="str">
        <f aca="false">IFERROR(INDEX(Projekte!A$5:A$24,MATCH(1,INDEX((ISNUMBER(SEARCH(Projekte!A$5:A$24,A172)))*(Projekte!A$5:A$24&lt;&gt;""),0),0)),"Kein Match")</f>
        <v>Kein Match</v>
      </c>
    </row>
    <row r="173" customFormat="false" ht="15" hidden="false" customHeight="false" outlineLevel="0" collapsed="false">
      <c r="A173" s="4"/>
      <c r="B173" s="4"/>
      <c r="C173" s="4"/>
      <c r="D173" s="4"/>
      <c r="E173" s="4"/>
      <c r="F173" s="13"/>
      <c r="G173" s="14" t="str">
        <f aca="false">IF(E173="","",YEAR(E173)&amp;"-"&amp;TEXT(MONTH(E173),"00"))</f>
        <v/>
      </c>
      <c r="H173" s="15" t="str">
        <f aca="false">IFERROR(INDEX(Projekte!B$5:B$24,MATCH(1,INDEX((ISNUMBER(SEARCH(Projekte!A$5:A$24,A173)))*(Projekte!A$5:A$24&lt;&gt;""),0),0)),"Kein Match")</f>
        <v>Kein Match</v>
      </c>
      <c r="I173" s="15" t="str">
        <f aca="false">IFERROR(INDEX(Projekte!A$5:A$24,MATCH(1,INDEX((ISNUMBER(SEARCH(Projekte!A$5:A$24,A173)))*(Projekte!A$5:A$24&lt;&gt;""),0),0)),"Kein Match")</f>
        <v>Kein Match</v>
      </c>
    </row>
    <row r="174" customFormat="false" ht="15" hidden="false" customHeight="false" outlineLevel="0" collapsed="false">
      <c r="A174" s="4"/>
      <c r="B174" s="4"/>
      <c r="C174" s="4"/>
      <c r="D174" s="4"/>
      <c r="E174" s="4"/>
      <c r="F174" s="13"/>
      <c r="G174" s="14" t="str">
        <f aca="false">IF(E174="","",YEAR(E174)&amp;"-"&amp;TEXT(MONTH(E174),"00"))</f>
        <v/>
      </c>
      <c r="H174" s="15" t="str">
        <f aca="false">IFERROR(INDEX(Projekte!B$5:B$24,MATCH(1,INDEX((ISNUMBER(SEARCH(Projekte!A$5:A$24,A174)))*(Projekte!A$5:A$24&lt;&gt;""),0),0)),"Kein Match")</f>
        <v>Kein Match</v>
      </c>
      <c r="I174" s="15" t="str">
        <f aca="false">IFERROR(INDEX(Projekte!A$5:A$24,MATCH(1,INDEX((ISNUMBER(SEARCH(Projekte!A$5:A$24,A174)))*(Projekte!A$5:A$24&lt;&gt;""),0),0)),"Kein Match")</f>
        <v>Kein Match</v>
      </c>
    </row>
    <row r="175" customFormat="false" ht="15" hidden="false" customHeight="false" outlineLevel="0" collapsed="false">
      <c r="A175" s="4"/>
      <c r="B175" s="4"/>
      <c r="C175" s="4"/>
      <c r="D175" s="4"/>
      <c r="E175" s="4"/>
      <c r="F175" s="13"/>
      <c r="G175" s="14" t="str">
        <f aca="false">IF(E175="","",YEAR(E175)&amp;"-"&amp;TEXT(MONTH(E175),"00"))</f>
        <v/>
      </c>
      <c r="H175" s="15" t="str">
        <f aca="false">IFERROR(INDEX(Projekte!B$5:B$24,MATCH(1,INDEX((ISNUMBER(SEARCH(Projekte!A$5:A$24,A175)))*(Projekte!A$5:A$24&lt;&gt;""),0),0)),"Kein Match")</f>
        <v>Kein Match</v>
      </c>
      <c r="I175" s="15" t="str">
        <f aca="false">IFERROR(INDEX(Projekte!A$5:A$24,MATCH(1,INDEX((ISNUMBER(SEARCH(Projekte!A$5:A$24,A175)))*(Projekte!A$5:A$24&lt;&gt;""),0),0)),"Kein Match")</f>
        <v>Kein Match</v>
      </c>
    </row>
    <row r="176" customFormat="false" ht="15" hidden="false" customHeight="false" outlineLevel="0" collapsed="false">
      <c r="A176" s="4"/>
      <c r="B176" s="4"/>
      <c r="C176" s="4"/>
      <c r="D176" s="4"/>
      <c r="E176" s="4"/>
      <c r="F176" s="13"/>
      <c r="G176" s="14" t="str">
        <f aca="false">IF(E176="","",YEAR(E176)&amp;"-"&amp;TEXT(MONTH(E176),"00"))</f>
        <v/>
      </c>
      <c r="H176" s="15" t="str">
        <f aca="false">IFERROR(INDEX(Projekte!B$5:B$24,MATCH(1,INDEX((ISNUMBER(SEARCH(Projekte!A$5:A$24,A176)))*(Projekte!A$5:A$24&lt;&gt;""),0),0)),"Kein Match")</f>
        <v>Kein Match</v>
      </c>
      <c r="I176" s="15" t="str">
        <f aca="false">IFERROR(INDEX(Projekte!A$5:A$24,MATCH(1,INDEX((ISNUMBER(SEARCH(Projekte!A$5:A$24,A176)))*(Projekte!A$5:A$24&lt;&gt;""),0),0)),"Kein Match")</f>
        <v>Kein Match</v>
      </c>
    </row>
    <row r="177" customFormat="false" ht="15" hidden="false" customHeight="false" outlineLevel="0" collapsed="false">
      <c r="A177" s="4"/>
      <c r="B177" s="4"/>
      <c r="C177" s="4"/>
      <c r="D177" s="4"/>
      <c r="E177" s="4"/>
      <c r="F177" s="13"/>
      <c r="G177" s="14" t="str">
        <f aca="false">IF(E177="","",YEAR(E177)&amp;"-"&amp;TEXT(MONTH(E177),"00"))</f>
        <v/>
      </c>
      <c r="H177" s="15" t="str">
        <f aca="false">IFERROR(INDEX(Projekte!B$5:B$24,MATCH(1,INDEX((ISNUMBER(SEARCH(Projekte!A$5:A$24,A177)))*(Projekte!A$5:A$24&lt;&gt;""),0),0)),"Kein Match")</f>
        <v>Kein Match</v>
      </c>
      <c r="I177" s="15" t="str">
        <f aca="false">IFERROR(INDEX(Projekte!A$5:A$24,MATCH(1,INDEX((ISNUMBER(SEARCH(Projekte!A$5:A$24,A177)))*(Projekte!A$5:A$24&lt;&gt;""),0),0)),"Kein Match")</f>
        <v>Kein Match</v>
      </c>
    </row>
    <row r="178" customFormat="false" ht="15" hidden="false" customHeight="false" outlineLevel="0" collapsed="false">
      <c r="A178" s="4"/>
      <c r="B178" s="4"/>
      <c r="C178" s="4"/>
      <c r="D178" s="4"/>
      <c r="E178" s="4"/>
      <c r="F178" s="13"/>
      <c r="G178" s="14" t="str">
        <f aca="false">IF(E178="","",YEAR(E178)&amp;"-"&amp;TEXT(MONTH(E178),"00"))</f>
        <v/>
      </c>
      <c r="H178" s="15" t="str">
        <f aca="false">IFERROR(INDEX(Projekte!B$5:B$24,MATCH(1,INDEX((ISNUMBER(SEARCH(Projekte!A$5:A$24,A178)))*(Projekte!A$5:A$24&lt;&gt;""),0),0)),"Kein Match")</f>
        <v>Kein Match</v>
      </c>
      <c r="I178" s="15" t="str">
        <f aca="false">IFERROR(INDEX(Projekte!A$5:A$24,MATCH(1,INDEX((ISNUMBER(SEARCH(Projekte!A$5:A$24,A178)))*(Projekte!A$5:A$24&lt;&gt;""),0),0)),"Kein Match")</f>
        <v>Kein Match</v>
      </c>
    </row>
    <row r="179" customFormat="false" ht="15" hidden="false" customHeight="false" outlineLevel="0" collapsed="false">
      <c r="A179" s="4"/>
      <c r="B179" s="4"/>
      <c r="C179" s="4"/>
      <c r="D179" s="4"/>
      <c r="E179" s="4"/>
      <c r="F179" s="13"/>
      <c r="G179" s="14" t="str">
        <f aca="false">IF(E179="","",YEAR(E179)&amp;"-"&amp;TEXT(MONTH(E179),"00"))</f>
        <v/>
      </c>
      <c r="H179" s="15" t="str">
        <f aca="false">IFERROR(INDEX(Projekte!B$5:B$24,MATCH(1,INDEX((ISNUMBER(SEARCH(Projekte!A$5:A$24,A179)))*(Projekte!A$5:A$24&lt;&gt;""),0),0)),"Kein Match")</f>
        <v>Kein Match</v>
      </c>
      <c r="I179" s="15" t="str">
        <f aca="false">IFERROR(INDEX(Projekte!A$5:A$24,MATCH(1,INDEX((ISNUMBER(SEARCH(Projekte!A$5:A$24,A179)))*(Projekte!A$5:A$24&lt;&gt;""),0),0)),"Kein Match")</f>
        <v>Kein Match</v>
      </c>
    </row>
    <row r="180" customFormat="false" ht="15" hidden="false" customHeight="false" outlineLevel="0" collapsed="false">
      <c r="A180" s="4"/>
      <c r="B180" s="4"/>
      <c r="C180" s="4"/>
      <c r="D180" s="4"/>
      <c r="E180" s="4"/>
      <c r="F180" s="13"/>
      <c r="G180" s="14" t="str">
        <f aca="false">IF(E180="","",YEAR(E180)&amp;"-"&amp;TEXT(MONTH(E180),"00"))</f>
        <v/>
      </c>
      <c r="H180" s="15" t="str">
        <f aca="false">IFERROR(INDEX(Projekte!B$5:B$24,MATCH(1,INDEX((ISNUMBER(SEARCH(Projekte!A$5:A$24,A180)))*(Projekte!A$5:A$24&lt;&gt;""),0),0)),"Kein Match")</f>
        <v>Kein Match</v>
      </c>
      <c r="I180" s="15" t="str">
        <f aca="false">IFERROR(INDEX(Projekte!A$5:A$24,MATCH(1,INDEX((ISNUMBER(SEARCH(Projekte!A$5:A$24,A180)))*(Projekte!A$5:A$24&lt;&gt;""),0),0)),"Kein Match")</f>
        <v>Kein Match</v>
      </c>
    </row>
    <row r="181" customFormat="false" ht="15" hidden="false" customHeight="false" outlineLevel="0" collapsed="false">
      <c r="A181" s="4"/>
      <c r="B181" s="4"/>
      <c r="C181" s="4"/>
      <c r="D181" s="4"/>
      <c r="E181" s="4"/>
      <c r="F181" s="13"/>
      <c r="G181" s="14" t="str">
        <f aca="false">IF(E181="","",YEAR(E181)&amp;"-"&amp;TEXT(MONTH(E181),"00"))</f>
        <v/>
      </c>
      <c r="H181" s="15" t="str">
        <f aca="false">IFERROR(INDEX(Projekte!B$5:B$24,MATCH(1,INDEX((ISNUMBER(SEARCH(Projekte!A$5:A$24,A181)))*(Projekte!A$5:A$24&lt;&gt;""),0),0)),"Kein Match")</f>
        <v>Kein Match</v>
      </c>
      <c r="I181" s="15" t="str">
        <f aca="false">IFERROR(INDEX(Projekte!A$5:A$24,MATCH(1,INDEX((ISNUMBER(SEARCH(Projekte!A$5:A$24,A181)))*(Projekte!A$5:A$24&lt;&gt;""),0),0)),"Kein Match")</f>
        <v>Kein Match</v>
      </c>
    </row>
    <row r="182" customFormat="false" ht="15" hidden="false" customHeight="false" outlineLevel="0" collapsed="false">
      <c r="A182" s="4"/>
      <c r="B182" s="4"/>
      <c r="C182" s="4"/>
      <c r="D182" s="4"/>
      <c r="E182" s="4"/>
      <c r="F182" s="13"/>
      <c r="G182" s="14" t="str">
        <f aca="false">IF(E182="","",YEAR(E182)&amp;"-"&amp;TEXT(MONTH(E182),"00"))</f>
        <v/>
      </c>
      <c r="H182" s="15" t="str">
        <f aca="false">IFERROR(INDEX(Projekte!B$5:B$24,MATCH(1,INDEX((ISNUMBER(SEARCH(Projekte!A$5:A$24,A182)))*(Projekte!A$5:A$24&lt;&gt;""),0),0)),"Kein Match")</f>
        <v>Kein Match</v>
      </c>
      <c r="I182" s="15" t="str">
        <f aca="false">IFERROR(INDEX(Projekte!A$5:A$24,MATCH(1,INDEX((ISNUMBER(SEARCH(Projekte!A$5:A$24,A182)))*(Projekte!A$5:A$24&lt;&gt;""),0),0)),"Kein Match")</f>
        <v>Kein Match</v>
      </c>
    </row>
    <row r="183" customFormat="false" ht="15" hidden="false" customHeight="false" outlineLevel="0" collapsed="false">
      <c r="A183" s="4"/>
      <c r="B183" s="4"/>
      <c r="C183" s="4"/>
      <c r="D183" s="4"/>
      <c r="E183" s="4"/>
      <c r="F183" s="13"/>
      <c r="G183" s="14" t="str">
        <f aca="false">IF(E183="","",YEAR(E183)&amp;"-"&amp;TEXT(MONTH(E183),"00"))</f>
        <v/>
      </c>
      <c r="H183" s="15" t="str">
        <f aca="false">IFERROR(INDEX(Projekte!B$5:B$24,MATCH(1,INDEX((ISNUMBER(SEARCH(Projekte!A$5:A$24,A183)))*(Projekte!A$5:A$24&lt;&gt;""),0),0)),"Kein Match")</f>
        <v>Kein Match</v>
      </c>
      <c r="I183" s="15" t="str">
        <f aca="false">IFERROR(INDEX(Projekte!A$5:A$24,MATCH(1,INDEX((ISNUMBER(SEARCH(Projekte!A$5:A$24,A183)))*(Projekte!A$5:A$24&lt;&gt;""),0),0)),"Kein Match")</f>
        <v>Kein Match</v>
      </c>
    </row>
    <row r="184" customFormat="false" ht="15" hidden="false" customHeight="false" outlineLevel="0" collapsed="false">
      <c r="A184" s="4"/>
      <c r="B184" s="4"/>
      <c r="C184" s="4"/>
      <c r="D184" s="4"/>
      <c r="E184" s="4"/>
      <c r="F184" s="13"/>
      <c r="G184" s="14" t="str">
        <f aca="false">IF(E184="","",YEAR(E184)&amp;"-"&amp;TEXT(MONTH(E184),"00"))</f>
        <v/>
      </c>
      <c r="H184" s="15" t="str">
        <f aca="false">IFERROR(INDEX(Projekte!B$5:B$24,MATCH(1,INDEX((ISNUMBER(SEARCH(Projekte!A$5:A$24,A184)))*(Projekte!A$5:A$24&lt;&gt;""),0),0)),"Kein Match")</f>
        <v>Kein Match</v>
      </c>
      <c r="I184" s="15" t="str">
        <f aca="false">IFERROR(INDEX(Projekte!A$5:A$24,MATCH(1,INDEX((ISNUMBER(SEARCH(Projekte!A$5:A$24,A184)))*(Projekte!A$5:A$24&lt;&gt;""),0),0)),"Kein Match")</f>
        <v>Kein Match</v>
      </c>
    </row>
    <row r="185" customFormat="false" ht="15" hidden="false" customHeight="false" outlineLevel="0" collapsed="false">
      <c r="A185" s="4"/>
      <c r="B185" s="4"/>
      <c r="C185" s="4"/>
      <c r="D185" s="4"/>
      <c r="E185" s="4"/>
      <c r="F185" s="13"/>
      <c r="G185" s="14" t="str">
        <f aca="false">IF(E185="","",YEAR(E185)&amp;"-"&amp;TEXT(MONTH(E185),"00"))</f>
        <v/>
      </c>
      <c r="H185" s="15" t="str">
        <f aca="false">IFERROR(INDEX(Projekte!B$5:B$24,MATCH(1,INDEX((ISNUMBER(SEARCH(Projekte!A$5:A$24,A185)))*(Projekte!A$5:A$24&lt;&gt;""),0),0)),"Kein Match")</f>
        <v>Kein Match</v>
      </c>
      <c r="I185" s="15" t="str">
        <f aca="false">IFERROR(INDEX(Projekte!A$5:A$24,MATCH(1,INDEX((ISNUMBER(SEARCH(Projekte!A$5:A$24,A185)))*(Projekte!A$5:A$24&lt;&gt;""),0),0)),"Kein Match")</f>
        <v>Kein Match</v>
      </c>
    </row>
    <row r="186" customFormat="false" ht="15" hidden="false" customHeight="false" outlineLevel="0" collapsed="false">
      <c r="A186" s="4"/>
      <c r="B186" s="4"/>
      <c r="C186" s="4"/>
      <c r="D186" s="4"/>
      <c r="E186" s="4"/>
      <c r="F186" s="13"/>
      <c r="G186" s="14" t="str">
        <f aca="false">IF(E186="","",YEAR(E186)&amp;"-"&amp;TEXT(MONTH(E186),"00"))</f>
        <v/>
      </c>
      <c r="H186" s="15" t="str">
        <f aca="false">IFERROR(INDEX(Projekte!B$5:B$24,MATCH(1,INDEX((ISNUMBER(SEARCH(Projekte!A$5:A$24,A186)))*(Projekte!A$5:A$24&lt;&gt;""),0),0)),"Kein Match")</f>
        <v>Kein Match</v>
      </c>
      <c r="I186" s="15" t="str">
        <f aca="false">IFERROR(INDEX(Projekte!A$5:A$24,MATCH(1,INDEX((ISNUMBER(SEARCH(Projekte!A$5:A$24,A186)))*(Projekte!A$5:A$24&lt;&gt;""),0),0)),"Kein Match")</f>
        <v>Kein Match</v>
      </c>
    </row>
    <row r="187" customFormat="false" ht="15" hidden="false" customHeight="false" outlineLevel="0" collapsed="false">
      <c r="A187" s="4"/>
      <c r="B187" s="4"/>
      <c r="C187" s="4"/>
      <c r="D187" s="4"/>
      <c r="E187" s="4"/>
      <c r="F187" s="13"/>
      <c r="G187" s="14" t="str">
        <f aca="false">IF(E187="","",YEAR(E187)&amp;"-"&amp;TEXT(MONTH(E187),"00"))</f>
        <v/>
      </c>
      <c r="H187" s="15" t="str">
        <f aca="false">IFERROR(INDEX(Projekte!B$5:B$24,MATCH(1,INDEX((ISNUMBER(SEARCH(Projekte!A$5:A$24,A187)))*(Projekte!A$5:A$24&lt;&gt;""),0),0)),"Kein Match")</f>
        <v>Kein Match</v>
      </c>
      <c r="I187" s="15" t="str">
        <f aca="false">IFERROR(INDEX(Projekte!A$5:A$24,MATCH(1,INDEX((ISNUMBER(SEARCH(Projekte!A$5:A$24,A187)))*(Projekte!A$5:A$24&lt;&gt;""),0),0)),"Kein Match")</f>
        <v>Kein Match</v>
      </c>
    </row>
    <row r="188" customFormat="false" ht="15" hidden="false" customHeight="false" outlineLevel="0" collapsed="false">
      <c r="A188" s="4"/>
      <c r="B188" s="4"/>
      <c r="C188" s="4"/>
      <c r="D188" s="4"/>
      <c r="E188" s="4"/>
      <c r="F188" s="13"/>
      <c r="G188" s="14" t="str">
        <f aca="false">IF(E188="","",YEAR(E188)&amp;"-"&amp;TEXT(MONTH(E188),"00"))</f>
        <v/>
      </c>
      <c r="H188" s="15" t="str">
        <f aca="false">IFERROR(INDEX(Projekte!B$5:B$24,MATCH(1,INDEX((ISNUMBER(SEARCH(Projekte!A$5:A$24,A188)))*(Projekte!A$5:A$24&lt;&gt;""),0),0)),"Kein Match")</f>
        <v>Kein Match</v>
      </c>
      <c r="I188" s="15" t="str">
        <f aca="false">IFERROR(INDEX(Projekte!A$5:A$24,MATCH(1,INDEX((ISNUMBER(SEARCH(Projekte!A$5:A$24,A188)))*(Projekte!A$5:A$24&lt;&gt;""),0),0)),"Kein Match")</f>
        <v>Kein Match</v>
      </c>
    </row>
    <row r="189" customFormat="false" ht="15" hidden="false" customHeight="false" outlineLevel="0" collapsed="false">
      <c r="A189" s="4"/>
      <c r="B189" s="4"/>
      <c r="C189" s="4"/>
      <c r="D189" s="4"/>
      <c r="E189" s="4"/>
      <c r="F189" s="13"/>
      <c r="G189" s="14" t="str">
        <f aca="false">IF(E189="","",YEAR(E189)&amp;"-"&amp;TEXT(MONTH(E189),"00"))</f>
        <v/>
      </c>
      <c r="H189" s="15" t="str">
        <f aca="false">IFERROR(INDEX(Projekte!B$5:B$24,MATCH(1,INDEX((ISNUMBER(SEARCH(Projekte!A$5:A$24,A189)))*(Projekte!A$5:A$24&lt;&gt;""),0),0)),"Kein Match")</f>
        <v>Kein Match</v>
      </c>
      <c r="I189" s="15" t="str">
        <f aca="false">IFERROR(INDEX(Projekte!A$5:A$24,MATCH(1,INDEX((ISNUMBER(SEARCH(Projekte!A$5:A$24,A189)))*(Projekte!A$5:A$24&lt;&gt;""),0),0)),"Kein Match")</f>
        <v>Kein Match</v>
      </c>
    </row>
    <row r="190" customFormat="false" ht="15" hidden="false" customHeight="false" outlineLevel="0" collapsed="false">
      <c r="A190" s="4"/>
      <c r="B190" s="4"/>
      <c r="C190" s="4"/>
      <c r="D190" s="4"/>
      <c r="E190" s="4"/>
      <c r="F190" s="13"/>
      <c r="G190" s="14" t="str">
        <f aca="false">IF(E190="","",YEAR(E190)&amp;"-"&amp;TEXT(MONTH(E190),"00"))</f>
        <v/>
      </c>
      <c r="H190" s="15" t="str">
        <f aca="false">IFERROR(INDEX(Projekte!B$5:B$24,MATCH(1,INDEX((ISNUMBER(SEARCH(Projekte!A$5:A$24,A190)))*(Projekte!A$5:A$24&lt;&gt;""),0),0)),"Kein Match")</f>
        <v>Kein Match</v>
      </c>
      <c r="I190" s="15" t="str">
        <f aca="false">IFERROR(INDEX(Projekte!A$5:A$24,MATCH(1,INDEX((ISNUMBER(SEARCH(Projekte!A$5:A$24,A190)))*(Projekte!A$5:A$24&lt;&gt;""),0),0)),"Kein Match")</f>
        <v>Kein Match</v>
      </c>
    </row>
    <row r="191" customFormat="false" ht="15" hidden="false" customHeight="false" outlineLevel="0" collapsed="false">
      <c r="A191" s="4"/>
      <c r="B191" s="4"/>
      <c r="C191" s="4"/>
      <c r="D191" s="4"/>
      <c r="E191" s="4"/>
      <c r="F191" s="13"/>
      <c r="G191" s="14" t="str">
        <f aca="false">IF(E191="","",YEAR(E191)&amp;"-"&amp;TEXT(MONTH(E191),"00"))</f>
        <v/>
      </c>
      <c r="H191" s="15" t="str">
        <f aca="false">IFERROR(INDEX(Projekte!B$5:B$24,MATCH(1,INDEX((ISNUMBER(SEARCH(Projekte!A$5:A$24,A191)))*(Projekte!A$5:A$24&lt;&gt;""),0),0)),"Kein Match")</f>
        <v>Kein Match</v>
      </c>
      <c r="I191" s="15" t="str">
        <f aca="false">IFERROR(INDEX(Projekte!A$5:A$24,MATCH(1,INDEX((ISNUMBER(SEARCH(Projekte!A$5:A$24,A191)))*(Projekte!A$5:A$24&lt;&gt;""),0),0)),"Kein Match")</f>
        <v>Kein Match</v>
      </c>
    </row>
    <row r="192" customFormat="false" ht="15" hidden="false" customHeight="false" outlineLevel="0" collapsed="false">
      <c r="A192" s="4"/>
      <c r="B192" s="4"/>
      <c r="C192" s="4"/>
      <c r="D192" s="4"/>
      <c r="E192" s="4"/>
      <c r="F192" s="13"/>
      <c r="G192" s="14" t="str">
        <f aca="false">IF(E192="","",YEAR(E192)&amp;"-"&amp;TEXT(MONTH(E192),"00"))</f>
        <v/>
      </c>
      <c r="H192" s="15" t="str">
        <f aca="false">IFERROR(INDEX(Projekte!B$5:B$24,MATCH(1,INDEX((ISNUMBER(SEARCH(Projekte!A$5:A$24,A192)))*(Projekte!A$5:A$24&lt;&gt;""),0),0)),"Kein Match")</f>
        <v>Kein Match</v>
      </c>
      <c r="I192" s="15" t="str">
        <f aca="false">IFERROR(INDEX(Projekte!A$5:A$24,MATCH(1,INDEX((ISNUMBER(SEARCH(Projekte!A$5:A$24,A192)))*(Projekte!A$5:A$24&lt;&gt;""),0),0)),"Kein Match")</f>
        <v>Kein Match</v>
      </c>
    </row>
    <row r="193" customFormat="false" ht="15" hidden="false" customHeight="false" outlineLevel="0" collapsed="false">
      <c r="A193" s="4"/>
      <c r="B193" s="4"/>
      <c r="C193" s="4"/>
      <c r="D193" s="4"/>
      <c r="E193" s="4"/>
      <c r="F193" s="13"/>
      <c r="G193" s="14" t="str">
        <f aca="false">IF(E193="","",YEAR(E193)&amp;"-"&amp;TEXT(MONTH(E193),"00"))</f>
        <v/>
      </c>
      <c r="H193" s="15" t="str">
        <f aca="false">IFERROR(INDEX(Projekte!B$5:B$24,MATCH(1,INDEX((ISNUMBER(SEARCH(Projekte!A$5:A$24,A193)))*(Projekte!A$5:A$24&lt;&gt;""),0),0)),"Kein Match")</f>
        <v>Kein Match</v>
      </c>
      <c r="I193" s="15" t="str">
        <f aca="false">IFERROR(INDEX(Projekte!A$5:A$24,MATCH(1,INDEX((ISNUMBER(SEARCH(Projekte!A$5:A$24,A193)))*(Projekte!A$5:A$24&lt;&gt;""),0),0)),"Kein Match")</f>
        <v>Kein Match</v>
      </c>
    </row>
    <row r="194" customFormat="false" ht="15" hidden="false" customHeight="false" outlineLevel="0" collapsed="false">
      <c r="A194" s="4"/>
      <c r="B194" s="4"/>
      <c r="C194" s="4"/>
      <c r="D194" s="4"/>
      <c r="E194" s="4"/>
      <c r="F194" s="13"/>
      <c r="G194" s="14" t="str">
        <f aca="false">IF(E194="","",YEAR(E194)&amp;"-"&amp;TEXT(MONTH(E194),"00"))</f>
        <v/>
      </c>
      <c r="H194" s="15" t="str">
        <f aca="false">IFERROR(INDEX(Projekte!B$5:B$24,MATCH(1,INDEX((ISNUMBER(SEARCH(Projekte!A$5:A$24,A194)))*(Projekte!A$5:A$24&lt;&gt;""),0),0)),"Kein Match")</f>
        <v>Kein Match</v>
      </c>
      <c r="I194" s="15" t="str">
        <f aca="false">IFERROR(INDEX(Projekte!A$5:A$24,MATCH(1,INDEX((ISNUMBER(SEARCH(Projekte!A$5:A$24,A194)))*(Projekte!A$5:A$24&lt;&gt;""),0),0)),"Kein Match")</f>
        <v>Kein Match</v>
      </c>
    </row>
    <row r="195" customFormat="false" ht="15" hidden="false" customHeight="false" outlineLevel="0" collapsed="false">
      <c r="A195" s="4"/>
      <c r="B195" s="4"/>
      <c r="C195" s="4"/>
      <c r="D195" s="4"/>
      <c r="E195" s="4"/>
      <c r="F195" s="13"/>
      <c r="G195" s="14" t="str">
        <f aca="false">IF(E195="","",YEAR(E195)&amp;"-"&amp;TEXT(MONTH(E195),"00"))</f>
        <v/>
      </c>
      <c r="H195" s="15" t="str">
        <f aca="false">IFERROR(INDEX(Projekte!B$5:B$24,MATCH(1,INDEX((ISNUMBER(SEARCH(Projekte!A$5:A$24,A195)))*(Projekte!A$5:A$24&lt;&gt;""),0),0)),"Kein Match")</f>
        <v>Kein Match</v>
      </c>
      <c r="I195" s="15" t="str">
        <f aca="false">IFERROR(INDEX(Projekte!A$5:A$24,MATCH(1,INDEX((ISNUMBER(SEARCH(Projekte!A$5:A$24,A195)))*(Projekte!A$5:A$24&lt;&gt;""),0),0)),"Kein Match")</f>
        <v>Kein Match</v>
      </c>
    </row>
    <row r="196" customFormat="false" ht="15" hidden="false" customHeight="false" outlineLevel="0" collapsed="false">
      <c r="A196" s="4"/>
      <c r="B196" s="4"/>
      <c r="C196" s="4"/>
      <c r="D196" s="4"/>
      <c r="E196" s="4"/>
      <c r="F196" s="13"/>
      <c r="G196" s="14" t="str">
        <f aca="false">IF(E196="","",YEAR(E196)&amp;"-"&amp;TEXT(MONTH(E196),"00"))</f>
        <v/>
      </c>
      <c r="H196" s="15" t="str">
        <f aca="false">IFERROR(INDEX(Projekte!B$5:B$24,MATCH(1,INDEX((ISNUMBER(SEARCH(Projekte!A$5:A$24,A196)))*(Projekte!A$5:A$24&lt;&gt;""),0),0)),"Kein Match")</f>
        <v>Kein Match</v>
      </c>
      <c r="I196" s="15" t="str">
        <f aca="false">IFERROR(INDEX(Projekte!A$5:A$24,MATCH(1,INDEX((ISNUMBER(SEARCH(Projekte!A$5:A$24,A196)))*(Projekte!A$5:A$24&lt;&gt;""),0),0)),"Kein Match")</f>
        <v>Kein Match</v>
      </c>
    </row>
    <row r="197" customFormat="false" ht="15" hidden="false" customHeight="false" outlineLevel="0" collapsed="false">
      <c r="A197" s="4"/>
      <c r="B197" s="4"/>
      <c r="C197" s="4"/>
      <c r="D197" s="4"/>
      <c r="E197" s="4"/>
      <c r="F197" s="13"/>
      <c r="G197" s="14" t="str">
        <f aca="false">IF(E197="","",YEAR(E197)&amp;"-"&amp;TEXT(MONTH(E197),"00"))</f>
        <v/>
      </c>
      <c r="H197" s="15" t="str">
        <f aca="false">IFERROR(INDEX(Projekte!B$5:B$24,MATCH(1,INDEX((ISNUMBER(SEARCH(Projekte!A$5:A$24,A197)))*(Projekte!A$5:A$24&lt;&gt;""),0),0)),"Kein Match")</f>
        <v>Kein Match</v>
      </c>
      <c r="I197" s="15" t="str">
        <f aca="false">IFERROR(INDEX(Projekte!A$5:A$24,MATCH(1,INDEX((ISNUMBER(SEARCH(Projekte!A$5:A$24,A197)))*(Projekte!A$5:A$24&lt;&gt;""),0),0)),"Kein Match")</f>
        <v>Kein Match</v>
      </c>
    </row>
    <row r="198" customFormat="false" ht="15" hidden="false" customHeight="false" outlineLevel="0" collapsed="false">
      <c r="A198" s="4"/>
      <c r="B198" s="4"/>
      <c r="C198" s="4"/>
      <c r="D198" s="4"/>
      <c r="E198" s="4"/>
      <c r="F198" s="13"/>
      <c r="G198" s="14" t="str">
        <f aca="false">IF(E198="","",YEAR(E198)&amp;"-"&amp;TEXT(MONTH(E198),"00"))</f>
        <v/>
      </c>
      <c r="H198" s="15" t="str">
        <f aca="false">IFERROR(INDEX(Projekte!B$5:B$24,MATCH(1,INDEX((ISNUMBER(SEARCH(Projekte!A$5:A$24,A198)))*(Projekte!A$5:A$24&lt;&gt;""),0),0)),"Kein Match")</f>
        <v>Kein Match</v>
      </c>
      <c r="I198" s="15" t="str">
        <f aca="false">IFERROR(INDEX(Projekte!A$5:A$24,MATCH(1,INDEX((ISNUMBER(SEARCH(Projekte!A$5:A$24,A198)))*(Projekte!A$5:A$24&lt;&gt;""),0),0)),"Kein Match")</f>
        <v>Kein Match</v>
      </c>
    </row>
    <row r="199" customFormat="false" ht="15" hidden="false" customHeight="false" outlineLevel="0" collapsed="false">
      <c r="A199" s="4"/>
      <c r="B199" s="4"/>
      <c r="C199" s="4"/>
      <c r="D199" s="4"/>
      <c r="E199" s="4"/>
      <c r="F199" s="13"/>
      <c r="G199" s="14" t="str">
        <f aca="false">IF(E199="","",YEAR(E199)&amp;"-"&amp;TEXT(MONTH(E199),"00"))</f>
        <v/>
      </c>
      <c r="H199" s="15" t="str">
        <f aca="false">IFERROR(INDEX(Projekte!B$5:B$24,MATCH(1,INDEX((ISNUMBER(SEARCH(Projekte!A$5:A$24,A199)))*(Projekte!A$5:A$24&lt;&gt;""),0),0)),"Kein Match")</f>
        <v>Kein Match</v>
      </c>
      <c r="I199" s="15" t="str">
        <f aca="false">IFERROR(INDEX(Projekte!A$5:A$24,MATCH(1,INDEX((ISNUMBER(SEARCH(Projekte!A$5:A$24,A199)))*(Projekte!A$5:A$24&lt;&gt;""),0),0)),"Kein Match")</f>
        <v>Kein Match</v>
      </c>
    </row>
    <row r="200" customFormat="false" ht="15" hidden="false" customHeight="false" outlineLevel="0" collapsed="false">
      <c r="A200" s="4"/>
      <c r="B200" s="4"/>
      <c r="C200" s="4"/>
      <c r="D200" s="4"/>
      <c r="E200" s="4"/>
      <c r="F200" s="13"/>
      <c r="G200" s="14" t="str">
        <f aca="false">IF(E200="","",YEAR(E200)&amp;"-"&amp;TEXT(MONTH(E200),"00"))</f>
        <v/>
      </c>
      <c r="H200" s="15" t="str">
        <f aca="false">IFERROR(INDEX(Projekte!B$5:B$24,MATCH(1,INDEX((ISNUMBER(SEARCH(Projekte!A$5:A$24,A200)))*(Projekte!A$5:A$24&lt;&gt;""),0),0)),"Kein Match")</f>
        <v>Kein Match</v>
      </c>
      <c r="I200" s="15" t="str">
        <f aca="false">IFERROR(INDEX(Projekte!A$5:A$24,MATCH(1,INDEX((ISNUMBER(SEARCH(Projekte!A$5:A$24,A200)))*(Projekte!A$5:A$24&lt;&gt;""),0),0)),"Kein Match")</f>
        <v>Kein Match</v>
      </c>
    </row>
    <row r="201" customFormat="false" ht="15" hidden="false" customHeight="false" outlineLevel="0" collapsed="false">
      <c r="A201" s="4"/>
      <c r="B201" s="4"/>
      <c r="C201" s="4"/>
      <c r="D201" s="4"/>
      <c r="E201" s="4"/>
      <c r="F201" s="13"/>
      <c r="G201" s="14" t="str">
        <f aca="false">IF(E201="","",YEAR(E201)&amp;"-"&amp;TEXT(MONTH(E201),"00"))</f>
        <v/>
      </c>
      <c r="H201" s="15" t="str">
        <f aca="false">IFERROR(INDEX(Projekte!B$5:B$24,MATCH(1,INDEX((ISNUMBER(SEARCH(Projekte!A$5:A$24,A201)))*(Projekte!A$5:A$24&lt;&gt;""),0),0)),"Kein Match")</f>
        <v>Kein Match</v>
      </c>
      <c r="I201" s="15" t="str">
        <f aca="false">IFERROR(INDEX(Projekte!A$5:A$24,MATCH(1,INDEX((ISNUMBER(SEARCH(Projekte!A$5:A$24,A201)))*(Projekte!A$5:A$24&lt;&gt;""),0),0)),"Kein Match")</f>
        <v>Kein Match</v>
      </c>
    </row>
    <row r="202" customFormat="false" ht="15" hidden="false" customHeight="false" outlineLevel="0" collapsed="false">
      <c r="A202" s="4"/>
      <c r="B202" s="4"/>
      <c r="C202" s="4"/>
      <c r="D202" s="4"/>
      <c r="E202" s="4"/>
      <c r="F202" s="13"/>
      <c r="G202" s="14" t="str">
        <f aca="false">IF(E202="","",YEAR(E202)&amp;"-"&amp;TEXT(MONTH(E202),"00"))</f>
        <v/>
      </c>
      <c r="H202" s="15" t="str">
        <f aca="false">IFERROR(INDEX(Projekte!B$5:B$24,MATCH(1,INDEX((ISNUMBER(SEARCH(Projekte!A$5:A$24,A202)))*(Projekte!A$5:A$24&lt;&gt;""),0),0)),"Kein Match")</f>
        <v>Kein Match</v>
      </c>
      <c r="I202" s="15" t="str">
        <f aca="false">IFERROR(INDEX(Projekte!A$5:A$24,MATCH(1,INDEX((ISNUMBER(SEARCH(Projekte!A$5:A$24,A202)))*(Projekte!A$5:A$24&lt;&gt;""),0),0)),"Kein Match")</f>
        <v>Kein Match</v>
      </c>
    </row>
    <row r="203" customFormat="false" ht="15" hidden="false" customHeight="false" outlineLevel="0" collapsed="false">
      <c r="A203" s="4"/>
      <c r="B203" s="4"/>
      <c r="C203" s="4"/>
      <c r="D203" s="4"/>
      <c r="E203" s="4"/>
      <c r="F203" s="13"/>
      <c r="G203" s="14" t="str">
        <f aca="false">IF(E203="","",YEAR(E203)&amp;"-"&amp;TEXT(MONTH(E203),"00"))</f>
        <v/>
      </c>
      <c r="H203" s="15" t="str">
        <f aca="false">IFERROR(INDEX(Projekte!B$5:B$24,MATCH(1,INDEX((ISNUMBER(SEARCH(Projekte!A$5:A$24,A203)))*(Projekte!A$5:A$24&lt;&gt;""),0),0)),"Kein Match")</f>
        <v>Kein Match</v>
      </c>
      <c r="I203" s="15" t="str">
        <f aca="false">IFERROR(INDEX(Projekte!A$5:A$24,MATCH(1,INDEX((ISNUMBER(SEARCH(Projekte!A$5:A$24,A203)))*(Projekte!A$5:A$24&lt;&gt;""),0),0)),"Kein Match")</f>
        <v>Kein Match</v>
      </c>
    </row>
    <row r="204" customFormat="false" ht="15" hidden="false" customHeight="false" outlineLevel="0" collapsed="false">
      <c r="A204" s="4"/>
      <c r="B204" s="4"/>
      <c r="C204" s="4"/>
      <c r="D204" s="4"/>
      <c r="E204" s="4"/>
      <c r="F204" s="13"/>
      <c r="G204" s="14" t="str">
        <f aca="false">IF(E204="","",YEAR(E204)&amp;"-"&amp;TEXT(MONTH(E204),"00"))</f>
        <v/>
      </c>
      <c r="H204" s="15" t="str">
        <f aca="false">IFERROR(INDEX(Projekte!B$5:B$24,MATCH(1,INDEX((ISNUMBER(SEARCH(Projekte!A$5:A$24,A204)))*(Projekte!A$5:A$24&lt;&gt;""),0),0)),"Kein Match")</f>
        <v>Kein Match</v>
      </c>
      <c r="I204" s="15" t="str">
        <f aca="false">IFERROR(INDEX(Projekte!A$5:A$24,MATCH(1,INDEX((ISNUMBER(SEARCH(Projekte!A$5:A$24,A204)))*(Projekte!A$5:A$24&lt;&gt;""),0),0)),"Kein Match")</f>
        <v>Kein Match</v>
      </c>
    </row>
    <row r="205" customFormat="false" ht="15" hidden="false" customHeight="false" outlineLevel="0" collapsed="false">
      <c r="A205" s="4"/>
      <c r="B205" s="4"/>
      <c r="C205" s="4"/>
      <c r="D205" s="4"/>
      <c r="E205" s="4"/>
      <c r="F205" s="13"/>
      <c r="G205" s="14" t="str">
        <f aca="false">IF(E205="","",YEAR(E205)&amp;"-"&amp;TEXT(MONTH(E205),"00"))</f>
        <v/>
      </c>
      <c r="H205" s="15" t="str">
        <f aca="false">IFERROR(INDEX(Projekte!B$5:B$24,MATCH(1,INDEX((ISNUMBER(SEARCH(Projekte!A$5:A$24,A205)))*(Projekte!A$5:A$24&lt;&gt;""),0),0)),"Kein Match")</f>
        <v>Kein Match</v>
      </c>
      <c r="I205" s="15" t="str">
        <f aca="false">IFERROR(INDEX(Projekte!A$5:A$24,MATCH(1,INDEX((ISNUMBER(SEARCH(Projekte!A$5:A$24,A205)))*(Projekte!A$5:A$24&lt;&gt;""),0),0)),"Kein Match")</f>
        <v>Kein Match</v>
      </c>
    </row>
    <row r="206" customFormat="false" ht="15" hidden="false" customHeight="false" outlineLevel="0" collapsed="false">
      <c r="A206" s="4"/>
      <c r="B206" s="4"/>
      <c r="C206" s="4"/>
      <c r="D206" s="4"/>
      <c r="E206" s="4"/>
      <c r="F206" s="13"/>
      <c r="G206" s="14" t="str">
        <f aca="false">IF(E206="","",YEAR(E206)&amp;"-"&amp;TEXT(MONTH(E206),"00"))</f>
        <v/>
      </c>
      <c r="H206" s="15" t="str">
        <f aca="false">IFERROR(INDEX(Projekte!B$5:B$24,MATCH(1,INDEX((ISNUMBER(SEARCH(Projekte!A$5:A$24,A206)))*(Projekte!A$5:A$24&lt;&gt;""),0),0)),"Kein Match")</f>
        <v>Kein Match</v>
      </c>
      <c r="I206" s="15" t="str">
        <f aca="false">IFERROR(INDEX(Projekte!A$5:A$24,MATCH(1,INDEX((ISNUMBER(SEARCH(Projekte!A$5:A$24,A206)))*(Projekte!A$5:A$24&lt;&gt;""),0),0)),"Kein Match")</f>
        <v>Kein Match</v>
      </c>
    </row>
    <row r="207" customFormat="false" ht="15" hidden="false" customHeight="false" outlineLevel="0" collapsed="false">
      <c r="A207" s="4"/>
      <c r="B207" s="4"/>
      <c r="C207" s="4"/>
      <c r="D207" s="4"/>
      <c r="E207" s="4"/>
      <c r="F207" s="13"/>
      <c r="G207" s="14" t="str">
        <f aca="false">IF(E207="","",YEAR(E207)&amp;"-"&amp;TEXT(MONTH(E207),"00"))</f>
        <v/>
      </c>
      <c r="H207" s="15" t="str">
        <f aca="false">IFERROR(INDEX(Projekte!B$5:B$24,MATCH(1,INDEX((ISNUMBER(SEARCH(Projekte!A$5:A$24,A207)))*(Projekte!A$5:A$24&lt;&gt;""),0),0)),"Kein Match")</f>
        <v>Kein Match</v>
      </c>
      <c r="I207" s="15" t="str">
        <f aca="false">IFERROR(INDEX(Projekte!A$5:A$24,MATCH(1,INDEX((ISNUMBER(SEARCH(Projekte!A$5:A$24,A207)))*(Projekte!A$5:A$24&lt;&gt;""),0),0)),"Kein Match")</f>
        <v>Kein Match</v>
      </c>
    </row>
    <row r="208" customFormat="false" ht="15" hidden="false" customHeight="false" outlineLevel="0" collapsed="false">
      <c r="A208" s="4"/>
      <c r="B208" s="4"/>
      <c r="C208" s="4"/>
      <c r="D208" s="4"/>
      <c r="E208" s="4"/>
      <c r="F208" s="13"/>
      <c r="G208" s="14" t="str">
        <f aca="false">IF(E208="","",YEAR(E208)&amp;"-"&amp;TEXT(MONTH(E208),"00"))</f>
        <v/>
      </c>
      <c r="H208" s="15" t="str">
        <f aca="false">IFERROR(INDEX(Projekte!B$5:B$24,MATCH(1,INDEX((ISNUMBER(SEARCH(Projekte!A$5:A$24,A208)))*(Projekte!A$5:A$24&lt;&gt;""),0),0)),"Kein Match")</f>
        <v>Kein Match</v>
      </c>
      <c r="I208" s="15" t="str">
        <f aca="false">IFERROR(INDEX(Projekte!A$5:A$24,MATCH(1,INDEX((ISNUMBER(SEARCH(Projekte!A$5:A$24,A208)))*(Projekte!A$5:A$24&lt;&gt;""),0),0)),"Kein Match")</f>
        <v>Kein Match</v>
      </c>
    </row>
    <row r="209" customFormat="false" ht="15" hidden="false" customHeight="false" outlineLevel="0" collapsed="false">
      <c r="A209" s="4"/>
      <c r="B209" s="4"/>
      <c r="C209" s="4"/>
      <c r="D209" s="4"/>
      <c r="E209" s="4"/>
      <c r="F209" s="13"/>
      <c r="G209" s="14" t="str">
        <f aca="false">IF(E209="","",YEAR(E209)&amp;"-"&amp;TEXT(MONTH(E209),"00"))</f>
        <v/>
      </c>
      <c r="H209" s="15" t="str">
        <f aca="false">IFERROR(INDEX(Projekte!B$5:B$24,MATCH(1,INDEX((ISNUMBER(SEARCH(Projekte!A$5:A$24,A209)))*(Projekte!A$5:A$24&lt;&gt;""),0),0)),"Kein Match")</f>
        <v>Kein Match</v>
      </c>
      <c r="I209" s="15" t="str">
        <f aca="false">IFERROR(INDEX(Projekte!A$5:A$24,MATCH(1,INDEX((ISNUMBER(SEARCH(Projekte!A$5:A$24,A209)))*(Projekte!A$5:A$24&lt;&gt;""),0),0)),"Kein Match")</f>
        <v>Kein Match</v>
      </c>
    </row>
    <row r="210" customFormat="false" ht="15" hidden="false" customHeight="false" outlineLevel="0" collapsed="false">
      <c r="A210" s="4"/>
      <c r="B210" s="4"/>
      <c r="C210" s="4"/>
      <c r="D210" s="4"/>
      <c r="E210" s="4"/>
      <c r="F210" s="13"/>
      <c r="G210" s="14" t="str">
        <f aca="false">IF(E210="","",YEAR(E210)&amp;"-"&amp;TEXT(MONTH(E210),"00"))</f>
        <v/>
      </c>
      <c r="H210" s="15" t="str">
        <f aca="false">IFERROR(INDEX(Projekte!B$5:B$24,MATCH(1,INDEX((ISNUMBER(SEARCH(Projekte!A$5:A$24,A210)))*(Projekte!A$5:A$24&lt;&gt;""),0),0)),"Kein Match")</f>
        <v>Kein Match</v>
      </c>
      <c r="I210" s="15" t="str">
        <f aca="false">IFERROR(INDEX(Projekte!A$5:A$24,MATCH(1,INDEX((ISNUMBER(SEARCH(Projekte!A$5:A$24,A210)))*(Projekte!A$5:A$24&lt;&gt;""),0),0)),"Kein Match")</f>
        <v>Kein Match</v>
      </c>
    </row>
    <row r="211" customFormat="false" ht="15" hidden="false" customHeight="false" outlineLevel="0" collapsed="false">
      <c r="A211" s="4"/>
      <c r="B211" s="4"/>
      <c r="C211" s="4"/>
      <c r="D211" s="4"/>
      <c r="E211" s="4"/>
      <c r="F211" s="13"/>
      <c r="G211" s="14" t="str">
        <f aca="false">IF(E211="","",YEAR(E211)&amp;"-"&amp;TEXT(MONTH(E211),"00"))</f>
        <v/>
      </c>
      <c r="H211" s="15" t="str">
        <f aca="false">IFERROR(INDEX(Projekte!B$5:B$24,MATCH(1,INDEX((ISNUMBER(SEARCH(Projekte!A$5:A$24,A211)))*(Projekte!A$5:A$24&lt;&gt;""),0),0)),"Kein Match")</f>
        <v>Kein Match</v>
      </c>
      <c r="I211" s="15" t="str">
        <f aca="false">IFERROR(INDEX(Projekte!A$5:A$24,MATCH(1,INDEX((ISNUMBER(SEARCH(Projekte!A$5:A$24,A211)))*(Projekte!A$5:A$24&lt;&gt;""),0),0)),"Kein Match")</f>
        <v>Kein Match</v>
      </c>
    </row>
    <row r="212" customFormat="false" ht="15" hidden="false" customHeight="false" outlineLevel="0" collapsed="false">
      <c r="A212" s="4"/>
      <c r="B212" s="4"/>
      <c r="C212" s="4"/>
      <c r="D212" s="4"/>
      <c r="E212" s="4"/>
      <c r="F212" s="13"/>
      <c r="G212" s="14" t="str">
        <f aca="false">IF(E212="","",YEAR(E212)&amp;"-"&amp;TEXT(MONTH(E212),"00"))</f>
        <v/>
      </c>
      <c r="H212" s="15" t="str">
        <f aca="false">IFERROR(INDEX(Projekte!B$5:B$24,MATCH(1,INDEX((ISNUMBER(SEARCH(Projekte!A$5:A$24,A212)))*(Projekte!A$5:A$24&lt;&gt;""),0),0)),"Kein Match")</f>
        <v>Kein Match</v>
      </c>
      <c r="I212" s="15" t="str">
        <f aca="false">IFERROR(INDEX(Projekte!A$5:A$24,MATCH(1,INDEX((ISNUMBER(SEARCH(Projekte!A$5:A$24,A212)))*(Projekte!A$5:A$24&lt;&gt;""),0),0)),"Kein Match")</f>
        <v>Kein Match</v>
      </c>
    </row>
    <row r="213" customFormat="false" ht="15" hidden="false" customHeight="false" outlineLevel="0" collapsed="false">
      <c r="A213" s="4"/>
      <c r="B213" s="4"/>
      <c r="C213" s="4"/>
      <c r="D213" s="4"/>
      <c r="E213" s="4"/>
      <c r="F213" s="13"/>
      <c r="G213" s="14" t="str">
        <f aca="false">IF(E213="","",YEAR(E213)&amp;"-"&amp;TEXT(MONTH(E213),"00"))</f>
        <v/>
      </c>
      <c r="H213" s="15" t="str">
        <f aca="false">IFERROR(INDEX(Projekte!B$5:B$24,MATCH(1,INDEX((ISNUMBER(SEARCH(Projekte!A$5:A$24,A213)))*(Projekte!A$5:A$24&lt;&gt;""),0),0)),"Kein Match")</f>
        <v>Kein Match</v>
      </c>
      <c r="I213" s="15" t="str">
        <f aca="false">IFERROR(INDEX(Projekte!A$5:A$24,MATCH(1,INDEX((ISNUMBER(SEARCH(Projekte!A$5:A$24,A213)))*(Projekte!A$5:A$24&lt;&gt;""),0),0)),"Kein Match")</f>
        <v>Kein Match</v>
      </c>
    </row>
    <row r="214" customFormat="false" ht="15" hidden="false" customHeight="false" outlineLevel="0" collapsed="false">
      <c r="A214" s="4"/>
      <c r="B214" s="4"/>
      <c r="C214" s="4"/>
      <c r="D214" s="4"/>
      <c r="E214" s="4"/>
      <c r="F214" s="13"/>
      <c r="G214" s="14" t="str">
        <f aca="false">IF(E214="","",YEAR(E214)&amp;"-"&amp;TEXT(MONTH(E214),"00"))</f>
        <v/>
      </c>
      <c r="H214" s="15" t="str">
        <f aca="false">IFERROR(INDEX(Projekte!B$5:B$24,MATCH(1,INDEX((ISNUMBER(SEARCH(Projekte!A$5:A$24,A214)))*(Projekte!A$5:A$24&lt;&gt;""),0),0)),"Kein Match")</f>
        <v>Kein Match</v>
      </c>
      <c r="I214" s="15" t="str">
        <f aca="false">IFERROR(INDEX(Projekte!A$5:A$24,MATCH(1,INDEX((ISNUMBER(SEARCH(Projekte!A$5:A$24,A214)))*(Projekte!A$5:A$24&lt;&gt;""),0),0)),"Kein Match")</f>
        <v>Kein Match</v>
      </c>
    </row>
    <row r="215" customFormat="false" ht="15" hidden="false" customHeight="false" outlineLevel="0" collapsed="false">
      <c r="A215" s="4"/>
      <c r="B215" s="4"/>
      <c r="C215" s="4"/>
      <c r="D215" s="4"/>
      <c r="E215" s="4"/>
      <c r="F215" s="13"/>
      <c r="G215" s="14" t="str">
        <f aca="false">IF(E215="","",YEAR(E215)&amp;"-"&amp;TEXT(MONTH(E215),"00"))</f>
        <v/>
      </c>
      <c r="H215" s="15" t="str">
        <f aca="false">IFERROR(INDEX(Projekte!B$5:B$24,MATCH(1,INDEX((ISNUMBER(SEARCH(Projekte!A$5:A$24,A215)))*(Projekte!A$5:A$24&lt;&gt;""),0),0)),"Kein Match")</f>
        <v>Kein Match</v>
      </c>
      <c r="I215" s="15" t="str">
        <f aca="false">IFERROR(INDEX(Projekte!A$5:A$24,MATCH(1,INDEX((ISNUMBER(SEARCH(Projekte!A$5:A$24,A215)))*(Projekte!A$5:A$24&lt;&gt;""),0),0)),"Kein Match")</f>
        <v>Kein Match</v>
      </c>
    </row>
    <row r="216" customFormat="false" ht="15" hidden="false" customHeight="false" outlineLevel="0" collapsed="false">
      <c r="A216" s="4"/>
      <c r="B216" s="4"/>
      <c r="C216" s="4"/>
      <c r="D216" s="4"/>
      <c r="E216" s="4"/>
      <c r="F216" s="13"/>
      <c r="G216" s="14" t="str">
        <f aca="false">IF(E216="","",YEAR(E216)&amp;"-"&amp;TEXT(MONTH(E216),"00"))</f>
        <v/>
      </c>
      <c r="H216" s="15" t="str">
        <f aca="false">IFERROR(INDEX(Projekte!B$5:B$24,MATCH(1,INDEX((ISNUMBER(SEARCH(Projekte!A$5:A$24,A216)))*(Projekte!A$5:A$24&lt;&gt;""),0),0)),"Kein Match")</f>
        <v>Kein Match</v>
      </c>
      <c r="I216" s="15" t="str">
        <f aca="false">IFERROR(INDEX(Projekte!A$5:A$24,MATCH(1,INDEX((ISNUMBER(SEARCH(Projekte!A$5:A$24,A216)))*(Projekte!A$5:A$24&lt;&gt;""),0),0)),"Kein Match")</f>
        <v>Kein Match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600"/>
    <pageSetUpPr fitToPage="tru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4" min="3" style="0" width="18"/>
  </cols>
  <sheetData>
    <row r="1" customFormat="false" ht="19.7" hidden="false" customHeight="false" outlineLevel="0" collapsed="false">
      <c r="A1" s="16" t="s">
        <v>28</v>
      </c>
      <c r="B1" s="16"/>
      <c r="C1" s="16"/>
      <c r="D1" s="16"/>
    </row>
    <row r="2" customFormat="false" ht="15" hidden="false" customHeight="false" outlineLevel="0" collapsed="false">
      <c r="A2" s="2" t="s">
        <v>29</v>
      </c>
      <c r="B2" s="2"/>
      <c r="C2" s="2"/>
      <c r="D2" s="2"/>
    </row>
    <row r="3" customFormat="false" ht="3.75" hidden="false" customHeight="true" outlineLevel="0" collapsed="false">
      <c r="A3" s="17"/>
      <c r="B3" s="17"/>
      <c r="C3" s="17"/>
      <c r="D3" s="17"/>
    </row>
    <row r="5" customFormat="false" ht="15" hidden="false" customHeight="false" outlineLevel="0" collapsed="false">
      <c r="A5" s="3" t="s">
        <v>30</v>
      </c>
      <c r="B5" s="3" t="s">
        <v>31</v>
      </c>
      <c r="C5" s="3" t="s">
        <v>32</v>
      </c>
      <c r="D5" s="3" t="s">
        <v>33</v>
      </c>
    </row>
    <row r="6" customFormat="false" ht="15" hidden="false" customHeight="false" outlineLevel="0" collapsed="false">
      <c r="A6" s="4" t="s">
        <v>34</v>
      </c>
      <c r="B6" s="18" t="n">
        <f aca="false">SUMPRODUCT(('Clockify Import'!G$5:G$216="2026-01")*'Clockify Import'!F$5:F$216)</f>
        <v>0</v>
      </c>
      <c r="C6" s="7" t="n">
        <f aca="false">SUMPRODUCT(('Clockify Import'!G$5:G$216="2026-01")*('Clockify Import'!A$5:A$216&lt;&gt;"")*'Clockify Import'!F$5:F$216*IFERROR(INDEX(Projekte!$H$5:$H$24,MATCH('Clockify Import'!I$5:I$216,Projekte!$A$5:$A$24,0)),0))</f>
        <v>0</v>
      </c>
      <c r="D6" s="7" t="n">
        <f aca="false">C6</f>
        <v>0</v>
      </c>
    </row>
    <row r="7" customFormat="false" ht="15" hidden="false" customHeight="false" outlineLevel="0" collapsed="false">
      <c r="A7" s="19" t="s">
        <v>35</v>
      </c>
      <c r="B7" s="20" t="n">
        <f aca="false">SUMPRODUCT(('Clockify Import'!G$5:G$216="2026-02")*'Clockify Import'!F$5:F$216)</f>
        <v>40</v>
      </c>
      <c r="C7" s="21" t="n">
        <f aca="false">SUMPRODUCT(('Clockify Import'!G$5:G$216="2026-02")*('Clockify Import'!A$5:A$216&lt;&gt;"")*'Clockify Import'!F$5:F$216*IFERROR(INDEX(Projekte!$H$5:$H$24,MATCH('Clockify Import'!I$5:I$216,Projekte!$A$5:$A$24,0)),0))</f>
        <v>96</v>
      </c>
      <c r="D7" s="21" t="n">
        <f aca="false">D6+C7</f>
        <v>96</v>
      </c>
    </row>
    <row r="8" customFormat="false" ht="15" hidden="false" customHeight="false" outlineLevel="0" collapsed="false">
      <c r="A8" s="4" t="s">
        <v>36</v>
      </c>
      <c r="B8" s="18" t="n">
        <f aca="false">SUMPRODUCT(('Clockify Import'!G$5:G$216="2026-03")*'Clockify Import'!F$5:F$216)</f>
        <v>0</v>
      </c>
      <c r="C8" s="7" t="n">
        <f aca="false">SUMPRODUCT(('Clockify Import'!G$5:G$216="2026-03")*('Clockify Import'!A$5:A$216&lt;&gt;"")*'Clockify Import'!F$5:F$216*IFERROR(INDEX(Projekte!$H$5:$H$24,MATCH('Clockify Import'!I$5:I$216,Projekte!$A$5:$A$24,0)),0))</f>
        <v>0</v>
      </c>
      <c r="D8" s="7" t="n">
        <f aca="false">D7+C8</f>
        <v>96</v>
      </c>
    </row>
    <row r="9" customFormat="false" ht="15" hidden="false" customHeight="false" outlineLevel="0" collapsed="false">
      <c r="A9" s="19" t="s">
        <v>37</v>
      </c>
      <c r="B9" s="20" t="n">
        <f aca="false">SUMPRODUCT(('Clockify Import'!G$5:G$216="2026-04")*'Clockify Import'!F$5:F$216)</f>
        <v>0</v>
      </c>
      <c r="C9" s="21" t="n">
        <f aca="false">SUMPRODUCT(('Clockify Import'!G$5:G$216="2026-04")*('Clockify Import'!A$5:A$216&lt;&gt;"")*'Clockify Import'!F$5:F$216*IFERROR(INDEX(Projekte!$H$5:$H$24,MATCH('Clockify Import'!I$5:I$216,Projekte!$A$5:$A$24,0)),0))</f>
        <v>0</v>
      </c>
      <c r="D9" s="21" t="n">
        <f aca="false">D8+C9</f>
        <v>96</v>
      </c>
    </row>
    <row r="10" customFormat="false" ht="15" hidden="false" customHeight="false" outlineLevel="0" collapsed="false">
      <c r="A10" s="4" t="s">
        <v>38</v>
      </c>
      <c r="B10" s="18" t="n">
        <f aca="false">SUMPRODUCT(('Clockify Import'!G$5:G$216="2026-05")*'Clockify Import'!F$5:F$216)</f>
        <v>0</v>
      </c>
      <c r="C10" s="7" t="n">
        <f aca="false">SUMPRODUCT(('Clockify Import'!G$5:G$216="2026-05")*('Clockify Import'!A$5:A$216&lt;&gt;"")*'Clockify Import'!F$5:F$216*IFERROR(INDEX(Projekte!$H$5:$H$24,MATCH('Clockify Import'!I$5:I$216,Projekte!$A$5:$A$24,0)),0))</f>
        <v>0</v>
      </c>
      <c r="D10" s="7" t="n">
        <f aca="false">D9+C10</f>
        <v>96</v>
      </c>
    </row>
    <row r="11" customFormat="false" ht="15" hidden="false" customHeight="false" outlineLevel="0" collapsed="false">
      <c r="A11" s="19" t="s">
        <v>39</v>
      </c>
      <c r="B11" s="20" t="n">
        <f aca="false">SUMPRODUCT(('Clockify Import'!G$5:G$216="2026-06")*'Clockify Import'!F$5:F$216)</f>
        <v>0</v>
      </c>
      <c r="C11" s="21" t="n">
        <f aca="false">SUMPRODUCT(('Clockify Import'!G$5:G$216="2026-06")*('Clockify Import'!A$5:A$216&lt;&gt;"")*'Clockify Import'!F$5:F$216*IFERROR(INDEX(Projekte!$H$5:$H$24,MATCH('Clockify Import'!I$5:I$216,Projekte!$A$5:$A$24,0)),0))</f>
        <v>0</v>
      </c>
      <c r="D11" s="21" t="n">
        <f aca="false">D10+C11</f>
        <v>96</v>
      </c>
    </row>
    <row r="12" customFormat="false" ht="15" hidden="false" customHeight="false" outlineLevel="0" collapsed="false">
      <c r="A12" s="4" t="s">
        <v>40</v>
      </c>
      <c r="B12" s="18" t="n">
        <f aca="false">SUMPRODUCT(('Clockify Import'!G$5:G$216="2026-07")*'Clockify Import'!F$5:F$216)</f>
        <v>0</v>
      </c>
      <c r="C12" s="7" t="n">
        <f aca="false">SUMPRODUCT(('Clockify Import'!G$5:G$216="2026-07")*('Clockify Import'!A$5:A$216&lt;&gt;"")*'Clockify Import'!F$5:F$216*IFERROR(INDEX(Projekte!$H$5:$H$24,MATCH('Clockify Import'!I$5:I$216,Projekte!$A$5:$A$24,0)),0))</f>
        <v>0</v>
      </c>
      <c r="D12" s="7" t="n">
        <f aca="false">D11+C12</f>
        <v>96</v>
      </c>
    </row>
    <row r="13" customFormat="false" ht="15" hidden="false" customHeight="false" outlineLevel="0" collapsed="false">
      <c r="A13" s="19" t="s">
        <v>41</v>
      </c>
      <c r="B13" s="20" t="n">
        <f aca="false">SUMPRODUCT(('Clockify Import'!G$5:G$216="2026-08")*'Clockify Import'!F$5:F$216)</f>
        <v>0</v>
      </c>
      <c r="C13" s="21" t="n">
        <f aca="false">SUMPRODUCT(('Clockify Import'!G$5:G$216="2026-08")*('Clockify Import'!A$5:A$216&lt;&gt;"")*'Clockify Import'!F$5:F$216*IFERROR(INDEX(Projekte!$H$5:$H$24,MATCH('Clockify Import'!I$5:I$216,Projekte!$A$5:$A$24,0)),0))</f>
        <v>0</v>
      </c>
      <c r="D13" s="21" t="n">
        <f aca="false">D12+C13</f>
        <v>96</v>
      </c>
    </row>
    <row r="14" customFormat="false" ht="15" hidden="false" customHeight="false" outlineLevel="0" collapsed="false">
      <c r="A14" s="4" t="s">
        <v>42</v>
      </c>
      <c r="B14" s="18" t="n">
        <f aca="false">SUMPRODUCT(('Clockify Import'!G$5:G$216="2026-09")*'Clockify Import'!F$5:F$216)</f>
        <v>0</v>
      </c>
      <c r="C14" s="7" t="n">
        <f aca="false">SUMPRODUCT(('Clockify Import'!G$5:G$216="2026-09")*('Clockify Import'!A$5:A$216&lt;&gt;"")*'Clockify Import'!F$5:F$216*IFERROR(INDEX(Projekte!$H$5:$H$24,MATCH('Clockify Import'!I$5:I$216,Projekte!$A$5:$A$24,0)),0))</f>
        <v>0</v>
      </c>
      <c r="D14" s="7" t="n">
        <f aca="false">D13+C14</f>
        <v>96</v>
      </c>
    </row>
    <row r="15" customFormat="false" ht="15" hidden="false" customHeight="false" outlineLevel="0" collapsed="false">
      <c r="A15" s="19" t="s">
        <v>43</v>
      </c>
      <c r="B15" s="20" t="n">
        <f aca="false">SUMPRODUCT(('Clockify Import'!G$5:G$216="2026-10")*'Clockify Import'!F$5:F$216)</f>
        <v>0</v>
      </c>
      <c r="C15" s="21" t="n">
        <f aca="false">SUMPRODUCT(('Clockify Import'!G$5:G$216="2026-10")*('Clockify Import'!A$5:A$216&lt;&gt;"")*'Clockify Import'!F$5:F$216*IFERROR(INDEX(Projekte!$H$5:$H$24,MATCH('Clockify Import'!I$5:I$216,Projekte!$A$5:$A$24,0)),0))</f>
        <v>0</v>
      </c>
      <c r="D15" s="21" t="n">
        <f aca="false">D14+C15</f>
        <v>96</v>
      </c>
    </row>
    <row r="16" customFormat="false" ht="15" hidden="false" customHeight="false" outlineLevel="0" collapsed="false">
      <c r="A16" s="4" t="s">
        <v>44</v>
      </c>
      <c r="B16" s="18" t="n">
        <f aca="false">SUMPRODUCT(('Clockify Import'!G$5:G$216="2026-11")*'Clockify Import'!F$5:F$216)</f>
        <v>0</v>
      </c>
      <c r="C16" s="7" t="n">
        <f aca="false">SUMPRODUCT(('Clockify Import'!G$5:G$216="2026-11")*('Clockify Import'!A$5:A$216&lt;&gt;"")*'Clockify Import'!F$5:F$216*IFERROR(INDEX(Projekte!$H$5:$H$24,MATCH('Clockify Import'!I$5:I$216,Projekte!$A$5:$A$24,0)),0))</f>
        <v>0</v>
      </c>
      <c r="D16" s="7" t="n">
        <f aca="false">D15+C16</f>
        <v>96</v>
      </c>
    </row>
    <row r="17" customFormat="false" ht="15" hidden="false" customHeight="false" outlineLevel="0" collapsed="false">
      <c r="A17" s="19" t="s">
        <v>45</v>
      </c>
      <c r="B17" s="20" t="n">
        <f aca="false">SUMPRODUCT(('Clockify Import'!G$5:G$216="2026-12")*'Clockify Import'!F$5:F$216)</f>
        <v>0</v>
      </c>
      <c r="C17" s="21" t="n">
        <f aca="false">SUMPRODUCT(('Clockify Import'!G$5:G$216="2026-12")*('Clockify Import'!A$5:A$216&lt;&gt;"")*'Clockify Import'!F$5:F$216*IFERROR(INDEX(Projekte!$H$5:$H$24,MATCH('Clockify Import'!I$5:I$216,Projekte!$A$5:$A$24,0)),0))</f>
        <v>0</v>
      </c>
      <c r="D17" s="21" t="n">
        <f aca="false">D16+C17</f>
        <v>96</v>
      </c>
    </row>
    <row r="18" customFormat="false" ht="15" hidden="false" customHeight="false" outlineLevel="0" collapsed="false">
      <c r="A18" s="22" t="s">
        <v>46</v>
      </c>
      <c r="B18" s="23" t="n">
        <f aca="false">SUM(B6:B17)</f>
        <v>40</v>
      </c>
      <c r="C18" s="24" t="n">
        <f aca="false">SUM(C6:C17)</f>
        <v>96</v>
      </c>
      <c r="D18" s="24" t="n">
        <f aca="false">D17</f>
        <v>96</v>
      </c>
    </row>
    <row r="20" customFormat="false" ht="15" hidden="false" customHeight="false" outlineLevel="0" collapsed="false">
      <c r="A20" s="25" t="s">
        <v>47</v>
      </c>
      <c r="B20" s="26" t="n">
        <f aca="true">TODAY()</f>
        <v>46077</v>
      </c>
    </row>
    <row r="21" customFormat="false" ht="15" hidden="false" customHeight="false" outlineLevel="0" collapsed="false">
      <c r="A21" s="27" t="s">
        <v>48</v>
      </c>
      <c r="B21" s="27"/>
      <c r="C21" s="27"/>
      <c r="D21" s="27"/>
    </row>
  </sheetData>
  <mergeCells count="3">
    <mergeCell ref="A1:D1"/>
    <mergeCell ref="A2:D2"/>
    <mergeCell ref="A21:D21"/>
  </mergeCells>
  <conditionalFormatting sqref="C6:C17">
    <cfRule type="cellIs" priority="2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5"/>
    <col collapsed="false" customWidth="true" hidden="false" outlineLevel="0" max="4" min="3" style="0" width="16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" t="s">
        <v>49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3" t="s">
        <v>50</v>
      </c>
      <c r="B3" s="3" t="s">
        <v>4</v>
      </c>
      <c r="C3" s="3" t="s">
        <v>10</v>
      </c>
      <c r="D3" s="3" t="s">
        <v>6</v>
      </c>
      <c r="E3" s="3" t="s">
        <v>51</v>
      </c>
      <c r="F3" s="3" t="s">
        <v>52</v>
      </c>
      <c r="G3" s="3" t="s">
        <v>53</v>
      </c>
    </row>
    <row r="4" customFormat="false" ht="15" hidden="false" customHeight="false" outlineLevel="0" collapsed="false">
      <c r="A4" s="15" t="str">
        <f aca="false">IF(Projekte!B5="","",Projekte!B5)</f>
        <v>Thees - Azure Migration Advisory &amp; Implement</v>
      </c>
      <c r="B4" s="15" t="str">
        <f aca="false">IF(Projekte!C5="","",Projekte!C5)</f>
        <v>Thees</v>
      </c>
      <c r="C4" s="28" t="str">
        <f aca="false">IF(A4="","",Projekte!I5)</f>
        <v>Aktiv</v>
      </c>
      <c r="D4" s="29" t="n">
        <f aca="false">IF(A4="","",Projekte!E5)</f>
        <v>40</v>
      </c>
      <c r="E4" s="18" t="n">
        <f aca="false">IF(A4="",0,SUMPRODUCT(('Clockify Import'!H$5:H$216=A4)*'Clockify Import'!F$5:F$216))</f>
        <v>40</v>
      </c>
      <c r="F4" s="18" t="n">
        <f aca="false">IF(A4="","",D4-E4)</f>
        <v>0</v>
      </c>
      <c r="G4" s="30" t="n">
        <f aca="false">IF(OR(A4="",D4=0,D4=""),0,E4/D4)</f>
        <v>1</v>
      </c>
    </row>
    <row r="5" customFormat="false" ht="15" hidden="false" customHeight="false" outlineLevel="0" collapsed="false">
      <c r="A5" s="15" t="str">
        <f aca="false">IF(Projekte!B6="","",Projekte!B6)</f>
        <v/>
      </c>
      <c r="B5" s="15" t="str">
        <f aca="false">IF(Projekte!C6="","",Projekte!C6)</f>
        <v/>
      </c>
      <c r="C5" s="28" t="str">
        <f aca="false">IF(A5="","",Projekte!I6)</f>
        <v/>
      </c>
      <c r="D5" s="29" t="str">
        <f aca="false">IF(A5="","",Projekte!E6)</f>
        <v/>
      </c>
      <c r="E5" s="18" t="n">
        <f aca="false">IF(A5="",0,SUMPRODUCT(('Clockify Import'!H$5:H$216=A5)*'Clockify Import'!F$5:F$216))</f>
        <v>0</v>
      </c>
      <c r="F5" s="18" t="str">
        <f aca="false">IF(A5="","",D5-E5)</f>
        <v/>
      </c>
      <c r="G5" s="30" t="n">
        <f aca="false">IF(OR(A5="",D5=0,D5=""),0,E5/D5)</f>
        <v>0</v>
      </c>
    </row>
    <row r="6" customFormat="false" ht="15" hidden="false" customHeight="false" outlineLevel="0" collapsed="false">
      <c r="A6" s="15" t="str">
        <f aca="false">IF(Projekte!B7="","",Projekte!B7)</f>
        <v/>
      </c>
      <c r="B6" s="15" t="str">
        <f aca="false">IF(Projekte!C7="","",Projekte!C7)</f>
        <v/>
      </c>
      <c r="C6" s="28" t="str">
        <f aca="false">IF(A6="","",Projekte!I7)</f>
        <v/>
      </c>
      <c r="D6" s="29" t="str">
        <f aca="false">IF(A6="","",Projekte!E7)</f>
        <v/>
      </c>
      <c r="E6" s="18" t="n">
        <f aca="false">IF(A6="",0,SUMPRODUCT(('Clockify Import'!H$5:H$216=A6)*'Clockify Import'!F$5:F$216))</f>
        <v>0</v>
      </c>
      <c r="F6" s="18" t="str">
        <f aca="false">IF(A6="","",D6-E6)</f>
        <v/>
      </c>
      <c r="G6" s="30" t="n">
        <f aca="false">IF(OR(A6="",D6=0,D6=""),0,E6/D6)</f>
        <v>0</v>
      </c>
    </row>
    <row r="7" customFormat="false" ht="15" hidden="false" customHeight="false" outlineLevel="0" collapsed="false">
      <c r="A7" s="15" t="str">
        <f aca="false">IF(Projekte!B8="","",Projekte!B8)</f>
        <v/>
      </c>
      <c r="B7" s="15" t="str">
        <f aca="false">IF(Projekte!C8="","",Projekte!C8)</f>
        <v/>
      </c>
      <c r="C7" s="28" t="str">
        <f aca="false">IF(A7="","",Projekte!I8)</f>
        <v/>
      </c>
      <c r="D7" s="29" t="str">
        <f aca="false">IF(A7="","",Projekte!E8)</f>
        <v/>
      </c>
      <c r="E7" s="18" t="n">
        <f aca="false">IF(A7="",0,SUMPRODUCT(('Clockify Import'!H$5:H$216=A7)*'Clockify Import'!F$5:F$216))</f>
        <v>0</v>
      </c>
      <c r="F7" s="18" t="str">
        <f aca="false">IF(A7="","",D7-E7)</f>
        <v/>
      </c>
      <c r="G7" s="30" t="n">
        <f aca="false">IF(OR(A7="",D7=0,D7=""),0,E7/D7)</f>
        <v>0</v>
      </c>
    </row>
    <row r="8" customFormat="false" ht="15" hidden="false" customHeight="false" outlineLevel="0" collapsed="false">
      <c r="A8" s="15" t="str">
        <f aca="false">IF(Projekte!B9="","",Projekte!B9)</f>
        <v/>
      </c>
      <c r="B8" s="15" t="str">
        <f aca="false">IF(Projekte!C9="","",Projekte!C9)</f>
        <v/>
      </c>
      <c r="C8" s="28" t="str">
        <f aca="false">IF(A8="","",Projekte!I9)</f>
        <v/>
      </c>
      <c r="D8" s="29" t="str">
        <f aca="false">IF(A8="","",Projekte!E9)</f>
        <v/>
      </c>
      <c r="E8" s="18" t="n">
        <f aca="false">IF(A8="",0,SUMPRODUCT(('Clockify Import'!H$5:H$216=A8)*'Clockify Import'!F$5:F$216))</f>
        <v>0</v>
      </c>
      <c r="F8" s="18" t="str">
        <f aca="false">IF(A8="","",D8-E8)</f>
        <v/>
      </c>
      <c r="G8" s="30" t="n">
        <f aca="false">IF(OR(A8="",D8=0,D8=""),0,E8/D8)</f>
        <v>0</v>
      </c>
    </row>
    <row r="9" customFormat="false" ht="15" hidden="false" customHeight="false" outlineLevel="0" collapsed="false">
      <c r="A9" s="15" t="str">
        <f aca="false">IF(Projekte!B10="","",Projekte!B10)</f>
        <v/>
      </c>
      <c r="B9" s="15" t="str">
        <f aca="false">IF(Projekte!C10="","",Projekte!C10)</f>
        <v/>
      </c>
      <c r="C9" s="28" t="str">
        <f aca="false">IF(A9="","",Projekte!I10)</f>
        <v/>
      </c>
      <c r="D9" s="29" t="str">
        <f aca="false">IF(A9="","",Projekte!E10)</f>
        <v/>
      </c>
      <c r="E9" s="18" t="n">
        <f aca="false">IF(A9="",0,SUMPRODUCT(('Clockify Import'!H$5:H$216=A9)*'Clockify Import'!F$5:F$216))</f>
        <v>0</v>
      </c>
      <c r="F9" s="18" t="str">
        <f aca="false">IF(A9="","",D9-E9)</f>
        <v/>
      </c>
      <c r="G9" s="30" t="n">
        <f aca="false">IF(OR(A9="",D9=0,D9=""),0,E9/D9)</f>
        <v>0</v>
      </c>
    </row>
    <row r="10" customFormat="false" ht="15" hidden="false" customHeight="false" outlineLevel="0" collapsed="false">
      <c r="A10" s="15" t="str">
        <f aca="false">IF(Projekte!B11="","",Projekte!B11)</f>
        <v/>
      </c>
      <c r="B10" s="15" t="str">
        <f aca="false">IF(Projekte!C11="","",Projekte!C11)</f>
        <v/>
      </c>
      <c r="C10" s="28" t="str">
        <f aca="false">IF(A10="","",Projekte!I11)</f>
        <v/>
      </c>
      <c r="D10" s="29" t="str">
        <f aca="false">IF(A10="","",Projekte!E11)</f>
        <v/>
      </c>
      <c r="E10" s="18" t="n">
        <f aca="false">IF(A10="",0,SUMPRODUCT(('Clockify Import'!H$5:H$216=A10)*'Clockify Import'!F$5:F$216))</f>
        <v>0</v>
      </c>
      <c r="F10" s="18" t="str">
        <f aca="false">IF(A10="","",D10-E10)</f>
        <v/>
      </c>
      <c r="G10" s="30" t="n">
        <f aca="false">IF(OR(A10="",D10=0,D10=""),0,E10/D10)</f>
        <v>0</v>
      </c>
    </row>
    <row r="11" customFormat="false" ht="15" hidden="false" customHeight="false" outlineLevel="0" collapsed="false">
      <c r="A11" s="15" t="str">
        <f aca="false">IF(Projekte!B12="","",Projekte!B12)</f>
        <v/>
      </c>
      <c r="B11" s="15" t="str">
        <f aca="false">IF(Projekte!C12="","",Projekte!C12)</f>
        <v/>
      </c>
      <c r="C11" s="28" t="str">
        <f aca="false">IF(A11="","",Projekte!I12)</f>
        <v/>
      </c>
      <c r="D11" s="29" t="str">
        <f aca="false">IF(A11="","",Projekte!E12)</f>
        <v/>
      </c>
      <c r="E11" s="18" t="n">
        <f aca="false">IF(A11="",0,SUMPRODUCT(('Clockify Import'!H$5:H$216=A11)*'Clockify Import'!F$5:F$216))</f>
        <v>0</v>
      </c>
      <c r="F11" s="18" t="str">
        <f aca="false">IF(A11="","",D11-E11)</f>
        <v/>
      </c>
      <c r="G11" s="30" t="n">
        <f aca="false">IF(OR(A11="",D11=0,D11=""),0,E11/D11)</f>
        <v>0</v>
      </c>
    </row>
    <row r="12" customFormat="false" ht="15" hidden="false" customHeight="false" outlineLevel="0" collapsed="false">
      <c r="A12" s="15" t="str">
        <f aca="false">IF(Projekte!B13="","",Projekte!B13)</f>
        <v/>
      </c>
      <c r="B12" s="15" t="str">
        <f aca="false">IF(Projekte!C13="","",Projekte!C13)</f>
        <v/>
      </c>
      <c r="C12" s="28" t="str">
        <f aca="false">IF(A12="","",Projekte!I13)</f>
        <v/>
      </c>
      <c r="D12" s="29" t="str">
        <f aca="false">IF(A12="","",Projekte!E13)</f>
        <v/>
      </c>
      <c r="E12" s="18" t="n">
        <f aca="false">IF(A12="",0,SUMPRODUCT(('Clockify Import'!H$5:H$216=A12)*'Clockify Import'!F$5:F$216))</f>
        <v>0</v>
      </c>
      <c r="F12" s="18" t="str">
        <f aca="false">IF(A12="","",D12-E12)</f>
        <v/>
      </c>
      <c r="G12" s="30" t="n">
        <f aca="false">IF(OR(A12="",D12=0,D12=""),0,E12/D12)</f>
        <v>0</v>
      </c>
    </row>
    <row r="13" customFormat="false" ht="15" hidden="false" customHeight="false" outlineLevel="0" collapsed="false">
      <c r="A13" s="15" t="str">
        <f aca="false">IF(Projekte!B14="","",Projekte!B14)</f>
        <v/>
      </c>
      <c r="B13" s="15" t="str">
        <f aca="false">IF(Projekte!C14="","",Projekte!C14)</f>
        <v/>
      </c>
      <c r="C13" s="28" t="str">
        <f aca="false">IF(A13="","",Projekte!I14)</f>
        <v/>
      </c>
      <c r="D13" s="29" t="str">
        <f aca="false">IF(A13="","",Projekte!E14)</f>
        <v/>
      </c>
      <c r="E13" s="18" t="n">
        <f aca="false">IF(A13="",0,SUMPRODUCT(('Clockify Import'!H$5:H$216=A13)*'Clockify Import'!F$5:F$216))</f>
        <v>0</v>
      </c>
      <c r="F13" s="18" t="str">
        <f aca="false">IF(A13="","",D13-E13)</f>
        <v/>
      </c>
      <c r="G13" s="30" t="n">
        <f aca="false">IF(OR(A13="",D13=0,D13=""),0,E13/D13)</f>
        <v>0</v>
      </c>
    </row>
    <row r="14" customFormat="false" ht="15" hidden="false" customHeight="false" outlineLevel="0" collapsed="false">
      <c r="A14" s="15" t="str">
        <f aca="false">IF(Projekte!B15="","",Projekte!B15)</f>
        <v/>
      </c>
      <c r="B14" s="15" t="str">
        <f aca="false">IF(Projekte!C15="","",Projekte!C15)</f>
        <v/>
      </c>
      <c r="C14" s="28" t="str">
        <f aca="false">IF(A14="","",Projekte!I15)</f>
        <v/>
      </c>
      <c r="D14" s="29" t="str">
        <f aca="false">IF(A14="","",Projekte!E15)</f>
        <v/>
      </c>
      <c r="E14" s="18" t="n">
        <f aca="false">IF(A14="",0,SUMPRODUCT(('Clockify Import'!H$5:H$216=A14)*'Clockify Import'!F$5:F$216))</f>
        <v>0</v>
      </c>
      <c r="F14" s="18" t="str">
        <f aca="false">IF(A14="","",D14-E14)</f>
        <v/>
      </c>
      <c r="G14" s="30" t="n">
        <f aca="false">IF(OR(A14="",D14=0,D14=""),0,E14/D14)</f>
        <v>0</v>
      </c>
    </row>
    <row r="15" customFormat="false" ht="15" hidden="false" customHeight="false" outlineLevel="0" collapsed="false">
      <c r="A15" s="15" t="str">
        <f aca="false">IF(Projekte!B16="","",Projekte!B16)</f>
        <v/>
      </c>
      <c r="B15" s="15" t="str">
        <f aca="false">IF(Projekte!C16="","",Projekte!C16)</f>
        <v/>
      </c>
      <c r="C15" s="28" t="str">
        <f aca="false">IF(A15="","",Projekte!I16)</f>
        <v/>
      </c>
      <c r="D15" s="29" t="str">
        <f aca="false">IF(A15="","",Projekte!E16)</f>
        <v/>
      </c>
      <c r="E15" s="18" t="n">
        <f aca="false">IF(A15="",0,SUMPRODUCT(('Clockify Import'!H$5:H$216=A15)*'Clockify Import'!F$5:F$216))</f>
        <v>0</v>
      </c>
      <c r="F15" s="18" t="str">
        <f aca="false">IF(A15="","",D15-E15)</f>
        <v/>
      </c>
      <c r="G15" s="30" t="n">
        <f aca="false">IF(OR(A15="",D15=0,D15=""),0,E15/D15)</f>
        <v>0</v>
      </c>
    </row>
    <row r="16" customFormat="false" ht="15" hidden="false" customHeight="false" outlineLevel="0" collapsed="false">
      <c r="A16" s="15" t="str">
        <f aca="false">IF(Projekte!B17="","",Projekte!B17)</f>
        <v/>
      </c>
      <c r="B16" s="15" t="str">
        <f aca="false">IF(Projekte!C17="","",Projekte!C17)</f>
        <v/>
      </c>
      <c r="C16" s="28" t="str">
        <f aca="false">IF(A16="","",Projekte!I17)</f>
        <v/>
      </c>
      <c r="D16" s="29" t="str">
        <f aca="false">IF(A16="","",Projekte!E17)</f>
        <v/>
      </c>
      <c r="E16" s="18" t="n">
        <f aca="false">IF(A16="",0,SUMPRODUCT(('Clockify Import'!H$5:H$216=A16)*'Clockify Import'!F$5:F$216))</f>
        <v>0</v>
      </c>
      <c r="F16" s="18" t="str">
        <f aca="false">IF(A16="","",D16-E16)</f>
        <v/>
      </c>
      <c r="G16" s="30" t="n">
        <f aca="false">IF(OR(A16="",D16=0,D16=""),0,E16/D16)</f>
        <v>0</v>
      </c>
    </row>
    <row r="17" customFormat="false" ht="15" hidden="false" customHeight="false" outlineLevel="0" collapsed="false">
      <c r="A17" s="15" t="str">
        <f aca="false">IF(Projekte!B18="","",Projekte!B18)</f>
        <v/>
      </c>
      <c r="B17" s="15" t="str">
        <f aca="false">IF(Projekte!C18="","",Projekte!C18)</f>
        <v/>
      </c>
      <c r="C17" s="28" t="str">
        <f aca="false">IF(A17="","",Projekte!I18)</f>
        <v/>
      </c>
      <c r="D17" s="29" t="str">
        <f aca="false">IF(A17="","",Projekte!E18)</f>
        <v/>
      </c>
      <c r="E17" s="18" t="n">
        <f aca="false">IF(A17="",0,SUMPRODUCT(('Clockify Import'!H$5:H$216=A17)*'Clockify Import'!F$5:F$216))</f>
        <v>0</v>
      </c>
      <c r="F17" s="18" t="str">
        <f aca="false">IF(A17="","",D17-E17)</f>
        <v/>
      </c>
      <c r="G17" s="30" t="n">
        <f aca="false">IF(OR(A17="",D17=0,D17=""),0,E17/D17)</f>
        <v>0</v>
      </c>
    </row>
    <row r="18" customFormat="false" ht="15" hidden="false" customHeight="false" outlineLevel="0" collapsed="false">
      <c r="A18" s="15" t="str">
        <f aca="false">IF(Projekte!B19="","",Projekte!B19)</f>
        <v/>
      </c>
      <c r="B18" s="15" t="str">
        <f aca="false">IF(Projekte!C19="","",Projekte!C19)</f>
        <v/>
      </c>
      <c r="C18" s="28" t="str">
        <f aca="false">IF(A18="","",Projekte!I19)</f>
        <v/>
      </c>
      <c r="D18" s="29" t="str">
        <f aca="false">IF(A18="","",Projekte!E19)</f>
        <v/>
      </c>
      <c r="E18" s="18" t="n">
        <f aca="false">IF(A18="",0,SUMPRODUCT(('Clockify Import'!H$5:H$216=A18)*'Clockify Import'!F$5:F$216))</f>
        <v>0</v>
      </c>
      <c r="F18" s="18" t="str">
        <f aca="false">IF(A18="","",D18-E18)</f>
        <v/>
      </c>
      <c r="G18" s="30" t="n">
        <f aca="false">IF(OR(A18="",D18=0,D18=""),0,E18/D18)</f>
        <v>0</v>
      </c>
    </row>
    <row r="19" customFormat="false" ht="15" hidden="false" customHeight="false" outlineLevel="0" collapsed="false">
      <c r="A19" s="15" t="str">
        <f aca="false">IF(Projekte!B20="","",Projekte!B20)</f>
        <v/>
      </c>
      <c r="B19" s="15" t="str">
        <f aca="false">IF(Projekte!C20="","",Projekte!C20)</f>
        <v/>
      </c>
      <c r="C19" s="28" t="str">
        <f aca="false">IF(A19="","",Projekte!I20)</f>
        <v/>
      </c>
      <c r="D19" s="29" t="str">
        <f aca="false">IF(A19="","",Projekte!E20)</f>
        <v/>
      </c>
      <c r="E19" s="18" t="n">
        <f aca="false">IF(A19="",0,SUMPRODUCT(('Clockify Import'!H$5:H$216=A19)*'Clockify Import'!F$5:F$216))</f>
        <v>0</v>
      </c>
      <c r="F19" s="18" t="str">
        <f aca="false">IF(A19="","",D19-E19)</f>
        <v/>
      </c>
      <c r="G19" s="30" t="n">
        <f aca="false">IF(OR(A19="",D19=0,D19=""),0,E19/D19)</f>
        <v>0</v>
      </c>
    </row>
    <row r="20" customFormat="false" ht="15" hidden="false" customHeight="false" outlineLevel="0" collapsed="false">
      <c r="A20" s="15" t="str">
        <f aca="false">IF(Projekte!B21="","",Projekte!B21)</f>
        <v/>
      </c>
      <c r="B20" s="15" t="str">
        <f aca="false">IF(Projekte!C21="","",Projekte!C21)</f>
        <v/>
      </c>
      <c r="C20" s="28" t="str">
        <f aca="false">IF(A20="","",Projekte!I21)</f>
        <v/>
      </c>
      <c r="D20" s="29" t="str">
        <f aca="false">IF(A20="","",Projekte!E21)</f>
        <v/>
      </c>
      <c r="E20" s="18" t="n">
        <f aca="false">IF(A20="",0,SUMPRODUCT(('Clockify Import'!H$5:H$216=A20)*'Clockify Import'!F$5:F$216))</f>
        <v>0</v>
      </c>
      <c r="F20" s="18" t="str">
        <f aca="false">IF(A20="","",D20-E20)</f>
        <v/>
      </c>
      <c r="G20" s="30" t="n">
        <f aca="false">IF(OR(A20="",D20=0,D20=""),0,E20/D20)</f>
        <v>0</v>
      </c>
    </row>
    <row r="21" customFormat="false" ht="15" hidden="false" customHeight="false" outlineLevel="0" collapsed="false">
      <c r="A21" s="15" t="str">
        <f aca="false">IF(Projekte!B22="","",Projekte!B22)</f>
        <v/>
      </c>
      <c r="B21" s="15" t="str">
        <f aca="false">IF(Projekte!C22="","",Projekte!C22)</f>
        <v/>
      </c>
      <c r="C21" s="28" t="str">
        <f aca="false">IF(A21="","",Projekte!I22)</f>
        <v/>
      </c>
      <c r="D21" s="29" t="str">
        <f aca="false">IF(A21="","",Projekte!E22)</f>
        <v/>
      </c>
      <c r="E21" s="18" t="n">
        <f aca="false">IF(A21="",0,SUMPRODUCT(('Clockify Import'!H$5:H$216=A21)*'Clockify Import'!F$5:F$216))</f>
        <v>0</v>
      </c>
      <c r="F21" s="18" t="str">
        <f aca="false">IF(A21="","",D21-E21)</f>
        <v/>
      </c>
      <c r="G21" s="30" t="n">
        <f aca="false">IF(OR(A21="",D21=0,D21=""),0,E21/D21)</f>
        <v>0</v>
      </c>
    </row>
    <row r="22" customFormat="false" ht="15" hidden="false" customHeight="false" outlineLevel="0" collapsed="false">
      <c r="A22" s="15" t="str">
        <f aca="false">IF(Projekte!B23="","",Projekte!B23)</f>
        <v/>
      </c>
      <c r="B22" s="15" t="str">
        <f aca="false">IF(Projekte!C23="","",Projekte!C23)</f>
        <v/>
      </c>
      <c r="C22" s="28" t="str">
        <f aca="false">IF(A22="","",Projekte!I23)</f>
        <v/>
      </c>
      <c r="D22" s="29" t="str">
        <f aca="false">IF(A22="","",Projekte!E23)</f>
        <v/>
      </c>
      <c r="E22" s="18" t="n">
        <f aca="false">IF(A22="",0,SUMPRODUCT(('Clockify Import'!H$5:H$216=A22)*'Clockify Import'!F$5:F$216))</f>
        <v>0</v>
      </c>
      <c r="F22" s="18" t="str">
        <f aca="false">IF(A22="","",D22-E22)</f>
        <v/>
      </c>
      <c r="G22" s="30" t="n">
        <f aca="false">IF(OR(A22="",D22=0,D22=""),0,E22/D22)</f>
        <v>0</v>
      </c>
    </row>
    <row r="23" customFormat="false" ht="15" hidden="false" customHeight="false" outlineLevel="0" collapsed="false">
      <c r="A23" s="15" t="str">
        <f aca="false">IF(Projekte!B24="","",Projekte!B24)</f>
        <v/>
      </c>
      <c r="B23" s="15" t="str">
        <f aca="false">IF(Projekte!C24="","",Projekte!C24)</f>
        <v/>
      </c>
      <c r="C23" s="28" t="str">
        <f aca="false">IF(A23="","",Projekte!I24)</f>
        <v/>
      </c>
      <c r="D23" s="29" t="str">
        <f aca="false">IF(A23="","",Projekte!E24)</f>
        <v/>
      </c>
      <c r="E23" s="18" t="n">
        <f aca="false">IF(A23="",0,SUMPRODUCT(('Clockify Import'!H$5:H$216=A23)*'Clockify Import'!F$5:F$216))</f>
        <v>0</v>
      </c>
      <c r="F23" s="18" t="str">
        <f aca="false">IF(A23="","",D23-E23)</f>
        <v/>
      </c>
      <c r="G23" s="30" t="n">
        <f aca="false">IF(OR(A23="",D23=0,D23=""),0,E23/D23)</f>
        <v>0</v>
      </c>
    </row>
  </sheetData>
  <mergeCells count="1">
    <mergeCell ref="A1:G1"/>
  </mergeCells>
  <conditionalFormatting sqref="F4:F23">
    <cfRule type="cellIs" priority="2" operator="lessThan" aboveAverage="0" equalAverage="0" bottom="0" percent="0" rank="0" text="" dxfId="2">
      <formula>0</formula>
    </cfRule>
    <cfRule type="cellIs" priority="3" operator="greaterThan" aboveAverage="0" equalAverage="0" bottom="0" percent="0" rank="0" text="" dxfId="3">
      <formula>10</formula>
    </cfRule>
  </conditionalFormatting>
  <conditionalFormatting sqref="G4:G23">
    <cfRule type="cellIs" priority="4" operator="greaterThan" aboveAverage="0" equalAverage="0" bottom="0" percent="0" rank="0" text="" dxfId="2">
      <formula>0.9</formula>
    </cfRule>
  </conditionalFormatting>
  <conditionalFormatting sqref="A4:G23">
    <cfRule type="expression" priority="5" aboveAverage="0" equalAverage="0" bottom="0" percent="0" rank="0" text="" dxfId="0">
      <formula>$C4="Abgeschlossen"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R2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18" min="4" style="0" width="12"/>
  </cols>
  <sheetData>
    <row r="1" customFormat="false" ht="17.35" hidden="false" customHeight="false" outlineLevel="0" collapsed="false">
      <c r="A1" s="1" t="s">
        <v>54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55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1" t="s">
        <v>56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</row>
    <row r="6" customFormat="false" ht="15" hidden="false" customHeight="false" outlineLevel="0" collapsed="false">
      <c r="A6" s="3" t="s">
        <v>50</v>
      </c>
      <c r="B6" s="3" t="s">
        <v>4</v>
      </c>
      <c r="C6" s="3" t="s">
        <v>10</v>
      </c>
      <c r="D6" s="3" t="s">
        <v>57</v>
      </c>
      <c r="E6" s="3" t="s">
        <v>58</v>
      </c>
      <c r="F6" s="3" t="s">
        <v>59</v>
      </c>
      <c r="G6" s="3" t="s">
        <v>60</v>
      </c>
      <c r="H6" s="3" t="s">
        <v>61</v>
      </c>
      <c r="I6" s="3" t="s">
        <v>62</v>
      </c>
      <c r="J6" s="3" t="s">
        <v>63</v>
      </c>
      <c r="K6" s="3" t="s">
        <v>64</v>
      </c>
      <c r="L6" s="3" t="s">
        <v>65</v>
      </c>
      <c r="M6" s="3" t="s">
        <v>66</v>
      </c>
      <c r="N6" s="3" t="s">
        <v>67</v>
      </c>
      <c r="O6" s="3" t="s">
        <v>68</v>
      </c>
      <c r="P6" s="3" t="s">
        <v>69</v>
      </c>
      <c r="Q6" s="3" t="s">
        <v>70</v>
      </c>
      <c r="R6" s="3" t="s">
        <v>71</v>
      </c>
    </row>
    <row r="7" customFormat="false" ht="15" hidden="false" customHeight="false" outlineLevel="0" collapsed="false">
      <c r="A7" s="15" t="str">
        <f aca="false">IF(Projekte!B5="","",Projekte!B5)</f>
        <v>Thees - Azure Migration Advisory &amp; Implement</v>
      </c>
      <c r="B7" s="15" t="str">
        <f aca="false">IF(Projekte!C5="","",Projekte!C5)</f>
        <v>Thees</v>
      </c>
      <c r="C7" s="28" t="str">
        <f aca="false">IF(A7="","",Projekte!I5)</f>
        <v>Aktiv</v>
      </c>
      <c r="D7" s="18" t="n">
        <f aca="false">IF($A7="",0,SUMPRODUCT(('Clockify Import'!G$5:G$216="2026-01")*('Clockify Import'!H$5:H$216=$A7)*'Clockify Import'!F$5:F$216))</f>
        <v>0</v>
      </c>
      <c r="E7" s="18" t="n">
        <f aca="false">IF($A7="",0,SUMPRODUCT(('Clockify Import'!G$5:G$216="2026-02")*('Clockify Import'!H$5:H$216=$A7)*'Clockify Import'!F$5:F$216))</f>
        <v>40</v>
      </c>
      <c r="F7" s="18" t="n">
        <f aca="false">IF($A7="",0,SUMPRODUCT(('Clockify Import'!G$5:G$216="2026-03")*('Clockify Import'!H$5:H$216=$A7)*'Clockify Import'!F$5:F$216))</f>
        <v>0</v>
      </c>
      <c r="G7" s="18" t="n">
        <f aca="false">IF($A7="",0,SUMPRODUCT(('Clockify Import'!G$5:G$216="2026-04")*('Clockify Import'!H$5:H$216=$A7)*'Clockify Import'!F$5:F$216))</f>
        <v>0</v>
      </c>
      <c r="H7" s="18" t="n">
        <f aca="false">IF($A7="",0,SUMPRODUCT(('Clockify Import'!G$5:G$216="2026-05")*('Clockify Import'!H$5:H$216=$A7)*'Clockify Import'!F$5:F$216))</f>
        <v>0</v>
      </c>
      <c r="I7" s="18" t="n">
        <f aca="false">IF($A7="",0,SUMPRODUCT(('Clockify Import'!G$5:G$216="2026-06")*('Clockify Import'!H$5:H$216=$A7)*'Clockify Import'!F$5:F$216))</f>
        <v>0</v>
      </c>
      <c r="J7" s="18" t="n">
        <f aca="false">IF($A7="",0,SUMPRODUCT(('Clockify Import'!G$5:G$216="2026-07")*('Clockify Import'!H$5:H$216=$A7)*'Clockify Import'!F$5:F$216))</f>
        <v>0</v>
      </c>
      <c r="K7" s="18" t="n">
        <f aca="false">IF($A7="",0,SUMPRODUCT(('Clockify Import'!G$5:G$216="2026-08")*('Clockify Import'!H$5:H$216=$A7)*'Clockify Import'!F$5:F$216))</f>
        <v>0</v>
      </c>
      <c r="L7" s="18" t="n">
        <f aca="false">IF($A7="",0,SUMPRODUCT(('Clockify Import'!G$5:G$216="2026-09")*('Clockify Import'!H$5:H$216=$A7)*'Clockify Import'!F$5:F$216))</f>
        <v>0</v>
      </c>
      <c r="M7" s="18" t="n">
        <f aca="false">IF($A7="",0,SUMPRODUCT(('Clockify Import'!G$5:G$216="2026-10")*('Clockify Import'!H$5:H$216=$A7)*'Clockify Import'!F$5:F$216))</f>
        <v>0</v>
      </c>
      <c r="N7" s="18" t="n">
        <f aca="false">IF($A7="",0,SUMPRODUCT(('Clockify Import'!G$5:G$216="2026-11")*('Clockify Import'!H$5:H$216=$A7)*'Clockify Import'!F$5:F$216))</f>
        <v>0</v>
      </c>
      <c r="O7" s="18" t="n">
        <f aca="false">IF($A7="",0,SUMPRODUCT(('Clockify Import'!G$5:G$216="2026-12")*('Clockify Import'!H$5:H$216=$A7)*'Clockify Import'!F$5:F$216))</f>
        <v>0</v>
      </c>
      <c r="P7" s="32" t="n">
        <f aca="false">SUM(D7:O7)</f>
        <v>40</v>
      </c>
      <c r="Q7" s="29" t="n">
        <f aca="false">IF(A7="","",Projekte!E5)</f>
        <v>40</v>
      </c>
      <c r="R7" s="18" t="n">
        <f aca="false">IF(A7="","",Q7-P7)</f>
        <v>0</v>
      </c>
    </row>
    <row r="8" customFormat="false" ht="15" hidden="false" customHeight="false" outlineLevel="0" collapsed="false">
      <c r="A8" s="15" t="str">
        <f aca="false">IF(Projekte!B6="","",Projekte!B6)</f>
        <v/>
      </c>
      <c r="B8" s="15" t="str">
        <f aca="false">IF(Projekte!C6="","",Projekte!C6)</f>
        <v/>
      </c>
      <c r="C8" s="28" t="str">
        <f aca="false">IF(A8="","",Projekte!I6)</f>
        <v/>
      </c>
      <c r="D8" s="18" t="n">
        <f aca="false">IF($A8="",0,SUMPRODUCT(('Clockify Import'!G$5:G$216="2026-01")*('Clockify Import'!H$5:H$216=$A8)*'Clockify Import'!F$5:F$216))</f>
        <v>0</v>
      </c>
      <c r="E8" s="18" t="n">
        <f aca="false">IF($A8="",0,SUMPRODUCT(('Clockify Import'!G$5:G$216="2026-02")*('Clockify Import'!H$5:H$216=$A8)*'Clockify Import'!F$5:F$216))</f>
        <v>0</v>
      </c>
      <c r="F8" s="18" t="n">
        <f aca="false">IF($A8="",0,SUMPRODUCT(('Clockify Import'!G$5:G$216="2026-03")*('Clockify Import'!H$5:H$216=$A8)*'Clockify Import'!F$5:F$216))</f>
        <v>0</v>
      </c>
      <c r="G8" s="18" t="n">
        <f aca="false">IF($A8="",0,SUMPRODUCT(('Clockify Import'!G$5:G$216="2026-04")*('Clockify Import'!H$5:H$216=$A8)*'Clockify Import'!F$5:F$216))</f>
        <v>0</v>
      </c>
      <c r="H8" s="18" t="n">
        <f aca="false">IF($A8="",0,SUMPRODUCT(('Clockify Import'!G$5:G$216="2026-05")*('Clockify Import'!H$5:H$216=$A8)*'Clockify Import'!F$5:F$216))</f>
        <v>0</v>
      </c>
      <c r="I8" s="18" t="n">
        <f aca="false">IF($A8="",0,SUMPRODUCT(('Clockify Import'!G$5:G$216="2026-06")*('Clockify Import'!H$5:H$216=$A8)*'Clockify Import'!F$5:F$216))</f>
        <v>0</v>
      </c>
      <c r="J8" s="18" t="n">
        <f aca="false">IF($A8="",0,SUMPRODUCT(('Clockify Import'!G$5:G$216="2026-07")*('Clockify Import'!H$5:H$216=$A8)*'Clockify Import'!F$5:F$216))</f>
        <v>0</v>
      </c>
      <c r="K8" s="18" t="n">
        <f aca="false">IF($A8="",0,SUMPRODUCT(('Clockify Import'!G$5:G$216="2026-08")*('Clockify Import'!H$5:H$216=$A8)*'Clockify Import'!F$5:F$216))</f>
        <v>0</v>
      </c>
      <c r="L8" s="18" t="n">
        <f aca="false">IF($A8="",0,SUMPRODUCT(('Clockify Import'!G$5:G$216="2026-09")*('Clockify Import'!H$5:H$216=$A8)*'Clockify Import'!F$5:F$216))</f>
        <v>0</v>
      </c>
      <c r="M8" s="18" t="n">
        <f aca="false">IF($A8="",0,SUMPRODUCT(('Clockify Import'!G$5:G$216="2026-10")*('Clockify Import'!H$5:H$216=$A8)*'Clockify Import'!F$5:F$216))</f>
        <v>0</v>
      </c>
      <c r="N8" s="18" t="n">
        <f aca="false">IF($A8="",0,SUMPRODUCT(('Clockify Import'!G$5:G$216="2026-11")*('Clockify Import'!H$5:H$216=$A8)*'Clockify Import'!F$5:F$216))</f>
        <v>0</v>
      </c>
      <c r="O8" s="18" t="n">
        <f aca="false">IF($A8="",0,SUMPRODUCT(('Clockify Import'!G$5:G$216="2026-12")*('Clockify Import'!H$5:H$216=$A8)*'Clockify Import'!F$5:F$216))</f>
        <v>0</v>
      </c>
      <c r="P8" s="32" t="n">
        <f aca="false">SUM(D8:O8)</f>
        <v>0</v>
      </c>
      <c r="Q8" s="29" t="str">
        <f aca="false">IF(A8="","",Projekte!E6)</f>
        <v/>
      </c>
      <c r="R8" s="18" t="str">
        <f aca="false">IF(A8="","",Q8-P8)</f>
        <v/>
      </c>
    </row>
    <row r="9" customFormat="false" ht="15" hidden="false" customHeight="false" outlineLevel="0" collapsed="false">
      <c r="A9" s="15" t="str">
        <f aca="false">IF(Projekte!B7="","",Projekte!B7)</f>
        <v/>
      </c>
      <c r="B9" s="15" t="str">
        <f aca="false">IF(Projekte!C7="","",Projekte!C7)</f>
        <v/>
      </c>
      <c r="C9" s="28" t="str">
        <f aca="false">IF(A9="","",Projekte!I7)</f>
        <v/>
      </c>
      <c r="D9" s="18" t="n">
        <f aca="false">IF($A9="",0,SUMPRODUCT(('Clockify Import'!G$5:G$216="2026-01")*('Clockify Import'!H$5:H$216=$A9)*'Clockify Import'!F$5:F$216))</f>
        <v>0</v>
      </c>
      <c r="E9" s="18" t="n">
        <f aca="false">IF($A9="",0,SUMPRODUCT(('Clockify Import'!G$5:G$216="2026-02")*('Clockify Import'!H$5:H$216=$A9)*'Clockify Import'!F$5:F$216))</f>
        <v>0</v>
      </c>
      <c r="F9" s="18" t="n">
        <f aca="false">IF($A9="",0,SUMPRODUCT(('Clockify Import'!G$5:G$216="2026-03")*('Clockify Import'!H$5:H$216=$A9)*'Clockify Import'!F$5:F$216))</f>
        <v>0</v>
      </c>
      <c r="G9" s="18" t="n">
        <f aca="false">IF($A9="",0,SUMPRODUCT(('Clockify Import'!G$5:G$216="2026-04")*('Clockify Import'!H$5:H$216=$A9)*'Clockify Import'!F$5:F$216))</f>
        <v>0</v>
      </c>
      <c r="H9" s="18" t="n">
        <f aca="false">IF($A9="",0,SUMPRODUCT(('Clockify Import'!G$5:G$216="2026-05")*('Clockify Import'!H$5:H$216=$A9)*'Clockify Import'!F$5:F$216))</f>
        <v>0</v>
      </c>
      <c r="I9" s="18" t="n">
        <f aca="false">IF($A9="",0,SUMPRODUCT(('Clockify Import'!G$5:G$216="2026-06")*('Clockify Import'!H$5:H$216=$A9)*'Clockify Import'!F$5:F$216))</f>
        <v>0</v>
      </c>
      <c r="J9" s="18" t="n">
        <f aca="false">IF($A9="",0,SUMPRODUCT(('Clockify Import'!G$5:G$216="2026-07")*('Clockify Import'!H$5:H$216=$A9)*'Clockify Import'!F$5:F$216))</f>
        <v>0</v>
      </c>
      <c r="K9" s="18" t="n">
        <f aca="false">IF($A9="",0,SUMPRODUCT(('Clockify Import'!G$5:G$216="2026-08")*('Clockify Import'!H$5:H$216=$A9)*'Clockify Import'!F$5:F$216))</f>
        <v>0</v>
      </c>
      <c r="L9" s="18" t="n">
        <f aca="false">IF($A9="",0,SUMPRODUCT(('Clockify Import'!G$5:G$216="2026-09")*('Clockify Import'!H$5:H$216=$A9)*'Clockify Import'!F$5:F$216))</f>
        <v>0</v>
      </c>
      <c r="M9" s="18" t="n">
        <f aca="false">IF($A9="",0,SUMPRODUCT(('Clockify Import'!G$5:G$216="2026-10")*('Clockify Import'!H$5:H$216=$A9)*'Clockify Import'!F$5:F$216))</f>
        <v>0</v>
      </c>
      <c r="N9" s="18" t="n">
        <f aca="false">IF($A9="",0,SUMPRODUCT(('Clockify Import'!G$5:G$216="2026-11")*('Clockify Import'!H$5:H$216=$A9)*'Clockify Import'!F$5:F$216))</f>
        <v>0</v>
      </c>
      <c r="O9" s="18" t="n">
        <f aca="false">IF($A9="",0,SUMPRODUCT(('Clockify Import'!G$5:G$216="2026-12")*('Clockify Import'!H$5:H$216=$A9)*'Clockify Import'!F$5:F$216))</f>
        <v>0</v>
      </c>
      <c r="P9" s="32" t="n">
        <f aca="false">SUM(D9:O9)</f>
        <v>0</v>
      </c>
      <c r="Q9" s="29" t="str">
        <f aca="false">IF(A9="","",Projekte!E7)</f>
        <v/>
      </c>
      <c r="R9" s="18" t="str">
        <f aca="false">IF(A9="","",Q9-P9)</f>
        <v/>
      </c>
    </row>
    <row r="10" customFormat="false" ht="15" hidden="false" customHeight="false" outlineLevel="0" collapsed="false">
      <c r="A10" s="15" t="str">
        <f aca="false">IF(Projekte!B8="","",Projekte!B8)</f>
        <v/>
      </c>
      <c r="B10" s="15" t="str">
        <f aca="false">IF(Projekte!C8="","",Projekte!C8)</f>
        <v/>
      </c>
      <c r="C10" s="28" t="str">
        <f aca="false">IF(A10="","",Projekte!I8)</f>
        <v/>
      </c>
      <c r="D10" s="18" t="n">
        <f aca="false">IF($A10="",0,SUMPRODUCT(('Clockify Import'!G$5:G$216="2026-01")*('Clockify Import'!H$5:H$216=$A10)*'Clockify Import'!F$5:F$216))</f>
        <v>0</v>
      </c>
      <c r="E10" s="18" t="n">
        <f aca="false">IF($A10="",0,SUMPRODUCT(('Clockify Import'!G$5:G$216="2026-02")*('Clockify Import'!H$5:H$216=$A10)*'Clockify Import'!F$5:F$216))</f>
        <v>0</v>
      </c>
      <c r="F10" s="18" t="n">
        <f aca="false">IF($A10="",0,SUMPRODUCT(('Clockify Import'!G$5:G$216="2026-03")*('Clockify Import'!H$5:H$216=$A10)*'Clockify Import'!F$5:F$216))</f>
        <v>0</v>
      </c>
      <c r="G10" s="18" t="n">
        <f aca="false">IF($A10="",0,SUMPRODUCT(('Clockify Import'!G$5:G$216="2026-04")*('Clockify Import'!H$5:H$216=$A10)*'Clockify Import'!F$5:F$216))</f>
        <v>0</v>
      </c>
      <c r="H10" s="18" t="n">
        <f aca="false">IF($A10="",0,SUMPRODUCT(('Clockify Import'!G$5:G$216="2026-05")*('Clockify Import'!H$5:H$216=$A10)*'Clockify Import'!F$5:F$216))</f>
        <v>0</v>
      </c>
      <c r="I10" s="18" t="n">
        <f aca="false">IF($A10="",0,SUMPRODUCT(('Clockify Import'!G$5:G$216="2026-06")*('Clockify Import'!H$5:H$216=$A10)*'Clockify Import'!F$5:F$216))</f>
        <v>0</v>
      </c>
      <c r="J10" s="18" t="n">
        <f aca="false">IF($A10="",0,SUMPRODUCT(('Clockify Import'!G$5:G$216="2026-07")*('Clockify Import'!H$5:H$216=$A10)*'Clockify Import'!F$5:F$216))</f>
        <v>0</v>
      </c>
      <c r="K10" s="18" t="n">
        <f aca="false">IF($A10="",0,SUMPRODUCT(('Clockify Import'!G$5:G$216="2026-08")*('Clockify Import'!H$5:H$216=$A10)*'Clockify Import'!F$5:F$216))</f>
        <v>0</v>
      </c>
      <c r="L10" s="18" t="n">
        <f aca="false">IF($A10="",0,SUMPRODUCT(('Clockify Import'!G$5:G$216="2026-09")*('Clockify Import'!H$5:H$216=$A10)*'Clockify Import'!F$5:F$216))</f>
        <v>0</v>
      </c>
      <c r="M10" s="18" t="n">
        <f aca="false">IF($A10="",0,SUMPRODUCT(('Clockify Import'!G$5:G$216="2026-10")*('Clockify Import'!H$5:H$216=$A10)*'Clockify Import'!F$5:F$216))</f>
        <v>0</v>
      </c>
      <c r="N10" s="18" t="n">
        <f aca="false">IF($A10="",0,SUMPRODUCT(('Clockify Import'!G$5:G$216="2026-11")*('Clockify Import'!H$5:H$216=$A10)*'Clockify Import'!F$5:F$216))</f>
        <v>0</v>
      </c>
      <c r="O10" s="18" t="n">
        <f aca="false">IF($A10="",0,SUMPRODUCT(('Clockify Import'!G$5:G$216="2026-12")*('Clockify Import'!H$5:H$216=$A10)*'Clockify Import'!F$5:F$216))</f>
        <v>0</v>
      </c>
      <c r="P10" s="32" t="n">
        <f aca="false">SUM(D10:O10)</f>
        <v>0</v>
      </c>
      <c r="Q10" s="29" t="str">
        <f aca="false">IF(A10="","",Projekte!E8)</f>
        <v/>
      </c>
      <c r="R10" s="18" t="str">
        <f aca="false">IF(A10="","",Q10-P10)</f>
        <v/>
      </c>
    </row>
    <row r="11" customFormat="false" ht="15" hidden="false" customHeight="false" outlineLevel="0" collapsed="false">
      <c r="A11" s="15" t="str">
        <f aca="false">IF(Projekte!B9="","",Projekte!B9)</f>
        <v/>
      </c>
      <c r="B11" s="15" t="str">
        <f aca="false">IF(Projekte!C9="","",Projekte!C9)</f>
        <v/>
      </c>
      <c r="C11" s="28" t="str">
        <f aca="false">IF(A11="","",Projekte!I9)</f>
        <v/>
      </c>
      <c r="D11" s="18" t="n">
        <f aca="false">IF($A11="",0,SUMPRODUCT(('Clockify Import'!G$5:G$216="2026-01")*('Clockify Import'!H$5:H$216=$A11)*'Clockify Import'!F$5:F$216))</f>
        <v>0</v>
      </c>
      <c r="E11" s="18" t="n">
        <f aca="false">IF($A11="",0,SUMPRODUCT(('Clockify Import'!G$5:G$216="2026-02")*('Clockify Import'!H$5:H$216=$A11)*'Clockify Import'!F$5:F$216))</f>
        <v>0</v>
      </c>
      <c r="F11" s="18" t="n">
        <f aca="false">IF($A11="",0,SUMPRODUCT(('Clockify Import'!G$5:G$216="2026-03")*('Clockify Import'!H$5:H$216=$A11)*'Clockify Import'!F$5:F$216))</f>
        <v>0</v>
      </c>
      <c r="G11" s="18" t="n">
        <f aca="false">IF($A11="",0,SUMPRODUCT(('Clockify Import'!G$5:G$216="2026-04")*('Clockify Import'!H$5:H$216=$A11)*'Clockify Import'!F$5:F$216))</f>
        <v>0</v>
      </c>
      <c r="H11" s="18" t="n">
        <f aca="false">IF($A11="",0,SUMPRODUCT(('Clockify Import'!G$5:G$216="2026-05")*('Clockify Import'!H$5:H$216=$A11)*'Clockify Import'!F$5:F$216))</f>
        <v>0</v>
      </c>
      <c r="I11" s="18" t="n">
        <f aca="false">IF($A11="",0,SUMPRODUCT(('Clockify Import'!G$5:G$216="2026-06")*('Clockify Import'!H$5:H$216=$A11)*'Clockify Import'!F$5:F$216))</f>
        <v>0</v>
      </c>
      <c r="J11" s="18" t="n">
        <f aca="false">IF($A11="",0,SUMPRODUCT(('Clockify Import'!G$5:G$216="2026-07")*('Clockify Import'!H$5:H$216=$A11)*'Clockify Import'!F$5:F$216))</f>
        <v>0</v>
      </c>
      <c r="K11" s="18" t="n">
        <f aca="false">IF($A11="",0,SUMPRODUCT(('Clockify Import'!G$5:G$216="2026-08")*('Clockify Import'!H$5:H$216=$A11)*'Clockify Import'!F$5:F$216))</f>
        <v>0</v>
      </c>
      <c r="L11" s="18" t="n">
        <f aca="false">IF($A11="",0,SUMPRODUCT(('Clockify Import'!G$5:G$216="2026-09")*('Clockify Import'!H$5:H$216=$A11)*'Clockify Import'!F$5:F$216))</f>
        <v>0</v>
      </c>
      <c r="M11" s="18" t="n">
        <f aca="false">IF($A11="",0,SUMPRODUCT(('Clockify Import'!G$5:G$216="2026-10")*('Clockify Import'!H$5:H$216=$A11)*'Clockify Import'!F$5:F$216))</f>
        <v>0</v>
      </c>
      <c r="N11" s="18" t="n">
        <f aca="false">IF($A11="",0,SUMPRODUCT(('Clockify Import'!G$5:G$216="2026-11")*('Clockify Import'!H$5:H$216=$A11)*'Clockify Import'!F$5:F$216))</f>
        <v>0</v>
      </c>
      <c r="O11" s="18" t="n">
        <f aca="false">IF($A11="",0,SUMPRODUCT(('Clockify Import'!G$5:G$216="2026-12")*('Clockify Import'!H$5:H$216=$A11)*'Clockify Import'!F$5:F$216))</f>
        <v>0</v>
      </c>
      <c r="P11" s="32" t="n">
        <f aca="false">SUM(D11:O11)</f>
        <v>0</v>
      </c>
      <c r="Q11" s="29" t="str">
        <f aca="false">IF(A11="","",Projekte!E9)</f>
        <v/>
      </c>
      <c r="R11" s="18" t="str">
        <f aca="false">IF(A11="","",Q11-P11)</f>
        <v/>
      </c>
    </row>
    <row r="12" customFormat="false" ht="15" hidden="false" customHeight="false" outlineLevel="0" collapsed="false">
      <c r="A12" s="15" t="str">
        <f aca="false">IF(Projekte!B10="","",Projekte!B10)</f>
        <v/>
      </c>
      <c r="B12" s="15" t="str">
        <f aca="false">IF(Projekte!C10="","",Projekte!C10)</f>
        <v/>
      </c>
      <c r="C12" s="28" t="str">
        <f aca="false">IF(A12="","",Projekte!I10)</f>
        <v/>
      </c>
      <c r="D12" s="18" t="n">
        <f aca="false">IF($A12="",0,SUMPRODUCT(('Clockify Import'!G$5:G$216="2026-01")*('Clockify Import'!H$5:H$216=$A12)*'Clockify Import'!F$5:F$216))</f>
        <v>0</v>
      </c>
      <c r="E12" s="18" t="n">
        <f aca="false">IF($A12="",0,SUMPRODUCT(('Clockify Import'!G$5:G$216="2026-02")*('Clockify Import'!H$5:H$216=$A12)*'Clockify Import'!F$5:F$216))</f>
        <v>0</v>
      </c>
      <c r="F12" s="18" t="n">
        <f aca="false">IF($A12="",0,SUMPRODUCT(('Clockify Import'!G$5:G$216="2026-03")*('Clockify Import'!H$5:H$216=$A12)*'Clockify Import'!F$5:F$216))</f>
        <v>0</v>
      </c>
      <c r="G12" s="18" t="n">
        <f aca="false">IF($A12="",0,SUMPRODUCT(('Clockify Import'!G$5:G$216="2026-04")*('Clockify Import'!H$5:H$216=$A12)*'Clockify Import'!F$5:F$216))</f>
        <v>0</v>
      </c>
      <c r="H12" s="18" t="n">
        <f aca="false">IF($A12="",0,SUMPRODUCT(('Clockify Import'!G$5:G$216="2026-05")*('Clockify Import'!H$5:H$216=$A12)*'Clockify Import'!F$5:F$216))</f>
        <v>0</v>
      </c>
      <c r="I12" s="18" t="n">
        <f aca="false">IF($A12="",0,SUMPRODUCT(('Clockify Import'!G$5:G$216="2026-06")*('Clockify Import'!H$5:H$216=$A12)*'Clockify Import'!F$5:F$216))</f>
        <v>0</v>
      </c>
      <c r="J12" s="18" t="n">
        <f aca="false">IF($A12="",0,SUMPRODUCT(('Clockify Import'!G$5:G$216="2026-07")*('Clockify Import'!H$5:H$216=$A12)*'Clockify Import'!F$5:F$216))</f>
        <v>0</v>
      </c>
      <c r="K12" s="18" t="n">
        <f aca="false">IF($A12="",0,SUMPRODUCT(('Clockify Import'!G$5:G$216="2026-08")*('Clockify Import'!H$5:H$216=$A12)*'Clockify Import'!F$5:F$216))</f>
        <v>0</v>
      </c>
      <c r="L12" s="18" t="n">
        <f aca="false">IF($A12="",0,SUMPRODUCT(('Clockify Import'!G$5:G$216="2026-09")*('Clockify Import'!H$5:H$216=$A12)*'Clockify Import'!F$5:F$216))</f>
        <v>0</v>
      </c>
      <c r="M12" s="18" t="n">
        <f aca="false">IF($A12="",0,SUMPRODUCT(('Clockify Import'!G$5:G$216="2026-10")*('Clockify Import'!H$5:H$216=$A12)*'Clockify Import'!F$5:F$216))</f>
        <v>0</v>
      </c>
      <c r="N12" s="18" t="n">
        <f aca="false">IF($A12="",0,SUMPRODUCT(('Clockify Import'!G$5:G$216="2026-11")*('Clockify Import'!H$5:H$216=$A12)*'Clockify Import'!F$5:F$216))</f>
        <v>0</v>
      </c>
      <c r="O12" s="18" t="n">
        <f aca="false">IF($A12="",0,SUMPRODUCT(('Clockify Import'!G$5:G$216="2026-12")*('Clockify Import'!H$5:H$216=$A12)*'Clockify Import'!F$5:F$216))</f>
        <v>0</v>
      </c>
      <c r="P12" s="32" t="n">
        <f aca="false">SUM(D12:O12)</f>
        <v>0</v>
      </c>
      <c r="Q12" s="29" t="str">
        <f aca="false">IF(A12="","",Projekte!E10)</f>
        <v/>
      </c>
      <c r="R12" s="18" t="str">
        <f aca="false">IF(A12="","",Q12-P12)</f>
        <v/>
      </c>
    </row>
    <row r="13" customFormat="false" ht="15" hidden="false" customHeight="false" outlineLevel="0" collapsed="false">
      <c r="A13" s="15" t="str">
        <f aca="false">IF(Projekte!B11="","",Projekte!B11)</f>
        <v/>
      </c>
      <c r="B13" s="15" t="str">
        <f aca="false">IF(Projekte!C11="","",Projekte!C11)</f>
        <v/>
      </c>
      <c r="C13" s="28" t="str">
        <f aca="false">IF(A13="","",Projekte!I11)</f>
        <v/>
      </c>
      <c r="D13" s="18" t="n">
        <f aca="false">IF($A13="",0,SUMPRODUCT(('Clockify Import'!G$5:G$216="2026-01")*('Clockify Import'!H$5:H$216=$A13)*'Clockify Import'!F$5:F$216))</f>
        <v>0</v>
      </c>
      <c r="E13" s="18" t="n">
        <f aca="false">IF($A13="",0,SUMPRODUCT(('Clockify Import'!G$5:G$216="2026-02")*('Clockify Import'!H$5:H$216=$A13)*'Clockify Import'!F$5:F$216))</f>
        <v>0</v>
      </c>
      <c r="F13" s="18" t="n">
        <f aca="false">IF($A13="",0,SUMPRODUCT(('Clockify Import'!G$5:G$216="2026-03")*('Clockify Import'!H$5:H$216=$A13)*'Clockify Import'!F$5:F$216))</f>
        <v>0</v>
      </c>
      <c r="G13" s="18" t="n">
        <f aca="false">IF($A13="",0,SUMPRODUCT(('Clockify Import'!G$5:G$216="2026-04")*('Clockify Import'!H$5:H$216=$A13)*'Clockify Import'!F$5:F$216))</f>
        <v>0</v>
      </c>
      <c r="H13" s="18" t="n">
        <f aca="false">IF($A13="",0,SUMPRODUCT(('Clockify Import'!G$5:G$216="2026-05")*('Clockify Import'!H$5:H$216=$A13)*'Clockify Import'!F$5:F$216))</f>
        <v>0</v>
      </c>
      <c r="I13" s="18" t="n">
        <f aca="false">IF($A13="",0,SUMPRODUCT(('Clockify Import'!G$5:G$216="2026-06")*('Clockify Import'!H$5:H$216=$A13)*'Clockify Import'!F$5:F$216))</f>
        <v>0</v>
      </c>
      <c r="J13" s="18" t="n">
        <f aca="false">IF($A13="",0,SUMPRODUCT(('Clockify Import'!G$5:G$216="2026-07")*('Clockify Import'!H$5:H$216=$A13)*'Clockify Import'!F$5:F$216))</f>
        <v>0</v>
      </c>
      <c r="K13" s="18" t="n">
        <f aca="false">IF($A13="",0,SUMPRODUCT(('Clockify Import'!G$5:G$216="2026-08")*('Clockify Import'!H$5:H$216=$A13)*'Clockify Import'!F$5:F$216))</f>
        <v>0</v>
      </c>
      <c r="L13" s="18" t="n">
        <f aca="false">IF($A13="",0,SUMPRODUCT(('Clockify Import'!G$5:G$216="2026-09")*('Clockify Import'!H$5:H$216=$A13)*'Clockify Import'!F$5:F$216))</f>
        <v>0</v>
      </c>
      <c r="M13" s="18" t="n">
        <f aca="false">IF($A13="",0,SUMPRODUCT(('Clockify Import'!G$5:G$216="2026-10")*('Clockify Import'!H$5:H$216=$A13)*'Clockify Import'!F$5:F$216))</f>
        <v>0</v>
      </c>
      <c r="N13" s="18" t="n">
        <f aca="false">IF($A13="",0,SUMPRODUCT(('Clockify Import'!G$5:G$216="2026-11")*('Clockify Import'!H$5:H$216=$A13)*'Clockify Import'!F$5:F$216))</f>
        <v>0</v>
      </c>
      <c r="O13" s="18" t="n">
        <f aca="false">IF($A13="",0,SUMPRODUCT(('Clockify Import'!G$5:G$216="2026-12")*('Clockify Import'!H$5:H$216=$A13)*'Clockify Import'!F$5:F$216))</f>
        <v>0</v>
      </c>
      <c r="P13" s="32" t="n">
        <f aca="false">SUM(D13:O13)</f>
        <v>0</v>
      </c>
      <c r="Q13" s="29" t="str">
        <f aca="false">IF(A13="","",Projekte!E11)</f>
        <v/>
      </c>
      <c r="R13" s="18" t="str">
        <f aca="false">IF(A13="","",Q13-P13)</f>
        <v/>
      </c>
    </row>
    <row r="14" customFormat="false" ht="15" hidden="false" customHeight="false" outlineLevel="0" collapsed="false">
      <c r="A14" s="15" t="str">
        <f aca="false">IF(Projekte!B12="","",Projekte!B12)</f>
        <v/>
      </c>
      <c r="B14" s="15" t="str">
        <f aca="false">IF(Projekte!C12="","",Projekte!C12)</f>
        <v/>
      </c>
      <c r="C14" s="28" t="str">
        <f aca="false">IF(A14="","",Projekte!I12)</f>
        <v/>
      </c>
      <c r="D14" s="18" t="n">
        <f aca="false">IF($A14="",0,SUMPRODUCT(('Clockify Import'!G$5:G$216="2026-01")*('Clockify Import'!H$5:H$216=$A14)*'Clockify Import'!F$5:F$216))</f>
        <v>0</v>
      </c>
      <c r="E14" s="18" t="n">
        <f aca="false">IF($A14="",0,SUMPRODUCT(('Clockify Import'!G$5:G$216="2026-02")*('Clockify Import'!H$5:H$216=$A14)*'Clockify Import'!F$5:F$216))</f>
        <v>0</v>
      </c>
      <c r="F14" s="18" t="n">
        <f aca="false">IF($A14="",0,SUMPRODUCT(('Clockify Import'!G$5:G$216="2026-03")*('Clockify Import'!H$5:H$216=$A14)*'Clockify Import'!F$5:F$216))</f>
        <v>0</v>
      </c>
      <c r="G14" s="18" t="n">
        <f aca="false">IF($A14="",0,SUMPRODUCT(('Clockify Import'!G$5:G$216="2026-04")*('Clockify Import'!H$5:H$216=$A14)*'Clockify Import'!F$5:F$216))</f>
        <v>0</v>
      </c>
      <c r="H14" s="18" t="n">
        <f aca="false">IF($A14="",0,SUMPRODUCT(('Clockify Import'!G$5:G$216="2026-05")*('Clockify Import'!H$5:H$216=$A14)*'Clockify Import'!F$5:F$216))</f>
        <v>0</v>
      </c>
      <c r="I14" s="18" t="n">
        <f aca="false">IF($A14="",0,SUMPRODUCT(('Clockify Import'!G$5:G$216="2026-06")*('Clockify Import'!H$5:H$216=$A14)*'Clockify Import'!F$5:F$216))</f>
        <v>0</v>
      </c>
      <c r="J14" s="18" t="n">
        <f aca="false">IF($A14="",0,SUMPRODUCT(('Clockify Import'!G$5:G$216="2026-07")*('Clockify Import'!H$5:H$216=$A14)*'Clockify Import'!F$5:F$216))</f>
        <v>0</v>
      </c>
      <c r="K14" s="18" t="n">
        <f aca="false">IF($A14="",0,SUMPRODUCT(('Clockify Import'!G$5:G$216="2026-08")*('Clockify Import'!H$5:H$216=$A14)*'Clockify Import'!F$5:F$216))</f>
        <v>0</v>
      </c>
      <c r="L14" s="18" t="n">
        <f aca="false">IF($A14="",0,SUMPRODUCT(('Clockify Import'!G$5:G$216="2026-09")*('Clockify Import'!H$5:H$216=$A14)*'Clockify Import'!F$5:F$216))</f>
        <v>0</v>
      </c>
      <c r="M14" s="18" t="n">
        <f aca="false">IF($A14="",0,SUMPRODUCT(('Clockify Import'!G$5:G$216="2026-10")*('Clockify Import'!H$5:H$216=$A14)*'Clockify Import'!F$5:F$216))</f>
        <v>0</v>
      </c>
      <c r="N14" s="18" t="n">
        <f aca="false">IF($A14="",0,SUMPRODUCT(('Clockify Import'!G$5:G$216="2026-11")*('Clockify Import'!H$5:H$216=$A14)*'Clockify Import'!F$5:F$216))</f>
        <v>0</v>
      </c>
      <c r="O14" s="18" t="n">
        <f aca="false">IF($A14="",0,SUMPRODUCT(('Clockify Import'!G$5:G$216="2026-12")*('Clockify Import'!H$5:H$216=$A14)*'Clockify Import'!F$5:F$216))</f>
        <v>0</v>
      </c>
      <c r="P14" s="32" t="n">
        <f aca="false">SUM(D14:O14)</f>
        <v>0</v>
      </c>
      <c r="Q14" s="29" t="str">
        <f aca="false">IF(A14="","",Projekte!E12)</f>
        <v/>
      </c>
      <c r="R14" s="18" t="str">
        <f aca="false">IF(A14="","",Q14-P14)</f>
        <v/>
      </c>
    </row>
    <row r="15" customFormat="false" ht="15" hidden="false" customHeight="false" outlineLevel="0" collapsed="false">
      <c r="A15" s="15" t="str">
        <f aca="false">IF(Projekte!B13="","",Projekte!B13)</f>
        <v/>
      </c>
      <c r="B15" s="15" t="str">
        <f aca="false">IF(Projekte!C13="","",Projekte!C13)</f>
        <v/>
      </c>
      <c r="C15" s="28" t="str">
        <f aca="false">IF(A15="","",Projekte!I13)</f>
        <v/>
      </c>
      <c r="D15" s="18" t="n">
        <f aca="false">IF($A15="",0,SUMPRODUCT(('Clockify Import'!G$5:G$216="2026-01")*('Clockify Import'!H$5:H$216=$A15)*'Clockify Import'!F$5:F$216))</f>
        <v>0</v>
      </c>
      <c r="E15" s="18" t="n">
        <f aca="false">IF($A15="",0,SUMPRODUCT(('Clockify Import'!G$5:G$216="2026-02")*('Clockify Import'!H$5:H$216=$A15)*'Clockify Import'!F$5:F$216))</f>
        <v>0</v>
      </c>
      <c r="F15" s="18" t="n">
        <f aca="false">IF($A15="",0,SUMPRODUCT(('Clockify Import'!G$5:G$216="2026-03")*('Clockify Import'!H$5:H$216=$A15)*'Clockify Import'!F$5:F$216))</f>
        <v>0</v>
      </c>
      <c r="G15" s="18" t="n">
        <f aca="false">IF($A15="",0,SUMPRODUCT(('Clockify Import'!G$5:G$216="2026-04")*('Clockify Import'!H$5:H$216=$A15)*'Clockify Import'!F$5:F$216))</f>
        <v>0</v>
      </c>
      <c r="H15" s="18" t="n">
        <f aca="false">IF($A15="",0,SUMPRODUCT(('Clockify Import'!G$5:G$216="2026-05")*('Clockify Import'!H$5:H$216=$A15)*'Clockify Import'!F$5:F$216))</f>
        <v>0</v>
      </c>
      <c r="I15" s="18" t="n">
        <f aca="false">IF($A15="",0,SUMPRODUCT(('Clockify Import'!G$5:G$216="2026-06")*('Clockify Import'!H$5:H$216=$A15)*'Clockify Import'!F$5:F$216))</f>
        <v>0</v>
      </c>
      <c r="J15" s="18" t="n">
        <f aca="false">IF($A15="",0,SUMPRODUCT(('Clockify Import'!G$5:G$216="2026-07")*('Clockify Import'!H$5:H$216=$A15)*'Clockify Import'!F$5:F$216))</f>
        <v>0</v>
      </c>
      <c r="K15" s="18" t="n">
        <f aca="false">IF($A15="",0,SUMPRODUCT(('Clockify Import'!G$5:G$216="2026-08")*('Clockify Import'!H$5:H$216=$A15)*'Clockify Import'!F$5:F$216))</f>
        <v>0</v>
      </c>
      <c r="L15" s="18" t="n">
        <f aca="false">IF($A15="",0,SUMPRODUCT(('Clockify Import'!G$5:G$216="2026-09")*('Clockify Import'!H$5:H$216=$A15)*'Clockify Import'!F$5:F$216))</f>
        <v>0</v>
      </c>
      <c r="M15" s="18" t="n">
        <f aca="false">IF($A15="",0,SUMPRODUCT(('Clockify Import'!G$5:G$216="2026-10")*('Clockify Import'!H$5:H$216=$A15)*'Clockify Import'!F$5:F$216))</f>
        <v>0</v>
      </c>
      <c r="N15" s="18" t="n">
        <f aca="false">IF($A15="",0,SUMPRODUCT(('Clockify Import'!G$5:G$216="2026-11")*('Clockify Import'!H$5:H$216=$A15)*'Clockify Import'!F$5:F$216))</f>
        <v>0</v>
      </c>
      <c r="O15" s="18" t="n">
        <f aca="false">IF($A15="",0,SUMPRODUCT(('Clockify Import'!G$5:G$216="2026-12")*('Clockify Import'!H$5:H$216=$A15)*'Clockify Import'!F$5:F$216))</f>
        <v>0</v>
      </c>
      <c r="P15" s="32" t="n">
        <f aca="false">SUM(D15:O15)</f>
        <v>0</v>
      </c>
      <c r="Q15" s="29" t="str">
        <f aca="false">IF(A15="","",Projekte!E13)</f>
        <v/>
      </c>
      <c r="R15" s="18" t="str">
        <f aca="false">IF(A15="","",Q15-P15)</f>
        <v/>
      </c>
    </row>
    <row r="16" customFormat="false" ht="15" hidden="false" customHeight="false" outlineLevel="0" collapsed="false">
      <c r="A16" s="15" t="str">
        <f aca="false">IF(Projekte!B14="","",Projekte!B14)</f>
        <v/>
      </c>
      <c r="B16" s="15" t="str">
        <f aca="false">IF(Projekte!C14="","",Projekte!C14)</f>
        <v/>
      </c>
      <c r="C16" s="28" t="str">
        <f aca="false">IF(A16="","",Projekte!I14)</f>
        <v/>
      </c>
      <c r="D16" s="18" t="n">
        <f aca="false">IF($A16="",0,SUMPRODUCT(('Clockify Import'!G$5:G$216="2026-01")*('Clockify Import'!H$5:H$216=$A16)*'Clockify Import'!F$5:F$216))</f>
        <v>0</v>
      </c>
      <c r="E16" s="18" t="n">
        <f aca="false">IF($A16="",0,SUMPRODUCT(('Clockify Import'!G$5:G$216="2026-02")*('Clockify Import'!H$5:H$216=$A16)*'Clockify Import'!F$5:F$216))</f>
        <v>0</v>
      </c>
      <c r="F16" s="18" t="n">
        <f aca="false">IF($A16="",0,SUMPRODUCT(('Clockify Import'!G$5:G$216="2026-03")*('Clockify Import'!H$5:H$216=$A16)*'Clockify Import'!F$5:F$216))</f>
        <v>0</v>
      </c>
      <c r="G16" s="18" t="n">
        <f aca="false">IF($A16="",0,SUMPRODUCT(('Clockify Import'!G$5:G$216="2026-04")*('Clockify Import'!H$5:H$216=$A16)*'Clockify Import'!F$5:F$216))</f>
        <v>0</v>
      </c>
      <c r="H16" s="18" t="n">
        <f aca="false">IF($A16="",0,SUMPRODUCT(('Clockify Import'!G$5:G$216="2026-05")*('Clockify Import'!H$5:H$216=$A16)*'Clockify Import'!F$5:F$216))</f>
        <v>0</v>
      </c>
      <c r="I16" s="18" t="n">
        <f aca="false">IF($A16="",0,SUMPRODUCT(('Clockify Import'!G$5:G$216="2026-06")*('Clockify Import'!H$5:H$216=$A16)*'Clockify Import'!F$5:F$216))</f>
        <v>0</v>
      </c>
      <c r="J16" s="18" t="n">
        <f aca="false">IF($A16="",0,SUMPRODUCT(('Clockify Import'!G$5:G$216="2026-07")*('Clockify Import'!H$5:H$216=$A16)*'Clockify Import'!F$5:F$216))</f>
        <v>0</v>
      </c>
      <c r="K16" s="18" t="n">
        <f aca="false">IF($A16="",0,SUMPRODUCT(('Clockify Import'!G$5:G$216="2026-08")*('Clockify Import'!H$5:H$216=$A16)*'Clockify Import'!F$5:F$216))</f>
        <v>0</v>
      </c>
      <c r="L16" s="18" t="n">
        <f aca="false">IF($A16="",0,SUMPRODUCT(('Clockify Import'!G$5:G$216="2026-09")*('Clockify Import'!H$5:H$216=$A16)*'Clockify Import'!F$5:F$216))</f>
        <v>0</v>
      </c>
      <c r="M16" s="18" t="n">
        <f aca="false">IF($A16="",0,SUMPRODUCT(('Clockify Import'!G$5:G$216="2026-10")*('Clockify Import'!H$5:H$216=$A16)*'Clockify Import'!F$5:F$216))</f>
        <v>0</v>
      </c>
      <c r="N16" s="18" t="n">
        <f aca="false">IF($A16="",0,SUMPRODUCT(('Clockify Import'!G$5:G$216="2026-11")*('Clockify Import'!H$5:H$216=$A16)*'Clockify Import'!F$5:F$216))</f>
        <v>0</v>
      </c>
      <c r="O16" s="18" t="n">
        <f aca="false">IF($A16="",0,SUMPRODUCT(('Clockify Import'!G$5:G$216="2026-12")*('Clockify Import'!H$5:H$216=$A16)*'Clockify Import'!F$5:F$216))</f>
        <v>0</v>
      </c>
      <c r="P16" s="32" t="n">
        <f aca="false">SUM(D16:O16)</f>
        <v>0</v>
      </c>
      <c r="Q16" s="29" t="str">
        <f aca="false">IF(A16="","",Projekte!E14)</f>
        <v/>
      </c>
      <c r="R16" s="18" t="str">
        <f aca="false">IF(A16="","",Q16-P16)</f>
        <v/>
      </c>
    </row>
    <row r="17" customFormat="false" ht="15" hidden="false" customHeight="false" outlineLevel="0" collapsed="false">
      <c r="A17" s="15" t="str">
        <f aca="false">IF(Projekte!B15="","",Projekte!B15)</f>
        <v/>
      </c>
      <c r="B17" s="15" t="str">
        <f aca="false">IF(Projekte!C15="","",Projekte!C15)</f>
        <v/>
      </c>
      <c r="C17" s="28" t="str">
        <f aca="false">IF(A17="","",Projekte!I15)</f>
        <v/>
      </c>
      <c r="D17" s="18" t="n">
        <f aca="false">IF($A17="",0,SUMPRODUCT(('Clockify Import'!G$5:G$216="2026-01")*('Clockify Import'!H$5:H$216=$A17)*'Clockify Import'!F$5:F$216))</f>
        <v>0</v>
      </c>
      <c r="E17" s="18" t="n">
        <f aca="false">IF($A17="",0,SUMPRODUCT(('Clockify Import'!G$5:G$216="2026-02")*('Clockify Import'!H$5:H$216=$A17)*'Clockify Import'!F$5:F$216))</f>
        <v>0</v>
      </c>
      <c r="F17" s="18" t="n">
        <f aca="false">IF($A17="",0,SUMPRODUCT(('Clockify Import'!G$5:G$216="2026-03")*('Clockify Import'!H$5:H$216=$A17)*'Clockify Import'!F$5:F$216))</f>
        <v>0</v>
      </c>
      <c r="G17" s="18" t="n">
        <f aca="false">IF($A17="",0,SUMPRODUCT(('Clockify Import'!G$5:G$216="2026-04")*('Clockify Import'!H$5:H$216=$A17)*'Clockify Import'!F$5:F$216))</f>
        <v>0</v>
      </c>
      <c r="H17" s="18" t="n">
        <f aca="false">IF($A17="",0,SUMPRODUCT(('Clockify Import'!G$5:G$216="2026-05")*('Clockify Import'!H$5:H$216=$A17)*'Clockify Import'!F$5:F$216))</f>
        <v>0</v>
      </c>
      <c r="I17" s="18" t="n">
        <f aca="false">IF($A17="",0,SUMPRODUCT(('Clockify Import'!G$5:G$216="2026-06")*('Clockify Import'!H$5:H$216=$A17)*'Clockify Import'!F$5:F$216))</f>
        <v>0</v>
      </c>
      <c r="J17" s="18" t="n">
        <f aca="false">IF($A17="",0,SUMPRODUCT(('Clockify Import'!G$5:G$216="2026-07")*('Clockify Import'!H$5:H$216=$A17)*'Clockify Import'!F$5:F$216))</f>
        <v>0</v>
      </c>
      <c r="K17" s="18" t="n">
        <f aca="false">IF($A17="",0,SUMPRODUCT(('Clockify Import'!G$5:G$216="2026-08")*('Clockify Import'!H$5:H$216=$A17)*'Clockify Import'!F$5:F$216))</f>
        <v>0</v>
      </c>
      <c r="L17" s="18" t="n">
        <f aca="false">IF($A17="",0,SUMPRODUCT(('Clockify Import'!G$5:G$216="2026-09")*('Clockify Import'!H$5:H$216=$A17)*'Clockify Import'!F$5:F$216))</f>
        <v>0</v>
      </c>
      <c r="M17" s="18" t="n">
        <f aca="false">IF($A17="",0,SUMPRODUCT(('Clockify Import'!G$5:G$216="2026-10")*('Clockify Import'!H$5:H$216=$A17)*'Clockify Import'!F$5:F$216))</f>
        <v>0</v>
      </c>
      <c r="N17" s="18" t="n">
        <f aca="false">IF($A17="",0,SUMPRODUCT(('Clockify Import'!G$5:G$216="2026-11")*('Clockify Import'!H$5:H$216=$A17)*'Clockify Import'!F$5:F$216))</f>
        <v>0</v>
      </c>
      <c r="O17" s="18" t="n">
        <f aca="false">IF($A17="",0,SUMPRODUCT(('Clockify Import'!G$5:G$216="2026-12")*('Clockify Import'!H$5:H$216=$A17)*'Clockify Import'!F$5:F$216))</f>
        <v>0</v>
      </c>
      <c r="P17" s="32" t="n">
        <f aca="false">SUM(D17:O17)</f>
        <v>0</v>
      </c>
      <c r="Q17" s="29" t="str">
        <f aca="false">IF(A17="","",Projekte!E15)</f>
        <v/>
      </c>
      <c r="R17" s="18" t="str">
        <f aca="false">IF(A17="","",Q17-P17)</f>
        <v/>
      </c>
    </row>
    <row r="18" customFormat="false" ht="15" hidden="false" customHeight="false" outlineLevel="0" collapsed="false">
      <c r="A18" s="15" t="str">
        <f aca="false">IF(Projekte!B16="","",Projekte!B16)</f>
        <v/>
      </c>
      <c r="B18" s="15" t="str">
        <f aca="false">IF(Projekte!C16="","",Projekte!C16)</f>
        <v/>
      </c>
      <c r="C18" s="28" t="str">
        <f aca="false">IF(A18="","",Projekte!I16)</f>
        <v/>
      </c>
      <c r="D18" s="18" t="n">
        <f aca="false">IF($A18="",0,SUMPRODUCT(('Clockify Import'!G$5:G$216="2026-01")*('Clockify Import'!H$5:H$216=$A18)*'Clockify Import'!F$5:F$216))</f>
        <v>0</v>
      </c>
      <c r="E18" s="18" t="n">
        <f aca="false">IF($A18="",0,SUMPRODUCT(('Clockify Import'!G$5:G$216="2026-02")*('Clockify Import'!H$5:H$216=$A18)*'Clockify Import'!F$5:F$216))</f>
        <v>0</v>
      </c>
      <c r="F18" s="18" t="n">
        <f aca="false">IF($A18="",0,SUMPRODUCT(('Clockify Import'!G$5:G$216="2026-03")*('Clockify Import'!H$5:H$216=$A18)*'Clockify Import'!F$5:F$216))</f>
        <v>0</v>
      </c>
      <c r="G18" s="18" t="n">
        <f aca="false">IF($A18="",0,SUMPRODUCT(('Clockify Import'!G$5:G$216="2026-04")*('Clockify Import'!H$5:H$216=$A18)*'Clockify Import'!F$5:F$216))</f>
        <v>0</v>
      </c>
      <c r="H18" s="18" t="n">
        <f aca="false">IF($A18="",0,SUMPRODUCT(('Clockify Import'!G$5:G$216="2026-05")*('Clockify Import'!H$5:H$216=$A18)*'Clockify Import'!F$5:F$216))</f>
        <v>0</v>
      </c>
      <c r="I18" s="18" t="n">
        <f aca="false">IF($A18="",0,SUMPRODUCT(('Clockify Import'!G$5:G$216="2026-06")*('Clockify Import'!H$5:H$216=$A18)*'Clockify Import'!F$5:F$216))</f>
        <v>0</v>
      </c>
      <c r="J18" s="18" t="n">
        <f aca="false">IF($A18="",0,SUMPRODUCT(('Clockify Import'!G$5:G$216="2026-07")*('Clockify Import'!H$5:H$216=$A18)*'Clockify Import'!F$5:F$216))</f>
        <v>0</v>
      </c>
      <c r="K18" s="18" t="n">
        <f aca="false">IF($A18="",0,SUMPRODUCT(('Clockify Import'!G$5:G$216="2026-08")*('Clockify Import'!H$5:H$216=$A18)*'Clockify Import'!F$5:F$216))</f>
        <v>0</v>
      </c>
      <c r="L18" s="18" t="n">
        <f aca="false">IF($A18="",0,SUMPRODUCT(('Clockify Import'!G$5:G$216="2026-09")*('Clockify Import'!H$5:H$216=$A18)*'Clockify Import'!F$5:F$216))</f>
        <v>0</v>
      </c>
      <c r="M18" s="18" t="n">
        <f aca="false">IF($A18="",0,SUMPRODUCT(('Clockify Import'!G$5:G$216="2026-10")*('Clockify Import'!H$5:H$216=$A18)*'Clockify Import'!F$5:F$216))</f>
        <v>0</v>
      </c>
      <c r="N18" s="18" t="n">
        <f aca="false">IF($A18="",0,SUMPRODUCT(('Clockify Import'!G$5:G$216="2026-11")*('Clockify Import'!H$5:H$216=$A18)*'Clockify Import'!F$5:F$216))</f>
        <v>0</v>
      </c>
      <c r="O18" s="18" t="n">
        <f aca="false">IF($A18="",0,SUMPRODUCT(('Clockify Import'!G$5:G$216="2026-12")*('Clockify Import'!H$5:H$216=$A18)*'Clockify Import'!F$5:F$216))</f>
        <v>0</v>
      </c>
      <c r="P18" s="32" t="n">
        <f aca="false">SUM(D18:O18)</f>
        <v>0</v>
      </c>
      <c r="Q18" s="29" t="str">
        <f aca="false">IF(A18="","",Projekte!E16)</f>
        <v/>
      </c>
      <c r="R18" s="18" t="str">
        <f aca="false">IF(A18="","",Q18-P18)</f>
        <v/>
      </c>
    </row>
    <row r="19" customFormat="false" ht="15" hidden="false" customHeight="false" outlineLevel="0" collapsed="false">
      <c r="A19" s="15" t="str">
        <f aca="false">IF(Projekte!B17="","",Projekte!B17)</f>
        <v/>
      </c>
      <c r="B19" s="15" t="str">
        <f aca="false">IF(Projekte!C17="","",Projekte!C17)</f>
        <v/>
      </c>
      <c r="C19" s="28" t="str">
        <f aca="false">IF(A19="","",Projekte!I17)</f>
        <v/>
      </c>
      <c r="D19" s="18" t="n">
        <f aca="false">IF($A19="",0,SUMPRODUCT(('Clockify Import'!G$5:G$216="2026-01")*('Clockify Import'!H$5:H$216=$A19)*'Clockify Import'!F$5:F$216))</f>
        <v>0</v>
      </c>
      <c r="E19" s="18" t="n">
        <f aca="false">IF($A19="",0,SUMPRODUCT(('Clockify Import'!G$5:G$216="2026-02")*('Clockify Import'!H$5:H$216=$A19)*'Clockify Import'!F$5:F$216))</f>
        <v>0</v>
      </c>
      <c r="F19" s="18" t="n">
        <f aca="false">IF($A19="",0,SUMPRODUCT(('Clockify Import'!G$5:G$216="2026-03")*('Clockify Import'!H$5:H$216=$A19)*'Clockify Import'!F$5:F$216))</f>
        <v>0</v>
      </c>
      <c r="G19" s="18" t="n">
        <f aca="false">IF($A19="",0,SUMPRODUCT(('Clockify Import'!G$5:G$216="2026-04")*('Clockify Import'!H$5:H$216=$A19)*'Clockify Import'!F$5:F$216))</f>
        <v>0</v>
      </c>
      <c r="H19" s="18" t="n">
        <f aca="false">IF($A19="",0,SUMPRODUCT(('Clockify Import'!G$5:G$216="2026-05")*('Clockify Import'!H$5:H$216=$A19)*'Clockify Import'!F$5:F$216))</f>
        <v>0</v>
      </c>
      <c r="I19" s="18" t="n">
        <f aca="false">IF($A19="",0,SUMPRODUCT(('Clockify Import'!G$5:G$216="2026-06")*('Clockify Import'!H$5:H$216=$A19)*'Clockify Import'!F$5:F$216))</f>
        <v>0</v>
      </c>
      <c r="J19" s="18" t="n">
        <f aca="false">IF($A19="",0,SUMPRODUCT(('Clockify Import'!G$5:G$216="2026-07")*('Clockify Import'!H$5:H$216=$A19)*'Clockify Import'!F$5:F$216))</f>
        <v>0</v>
      </c>
      <c r="K19" s="18" t="n">
        <f aca="false">IF($A19="",0,SUMPRODUCT(('Clockify Import'!G$5:G$216="2026-08")*('Clockify Import'!H$5:H$216=$A19)*'Clockify Import'!F$5:F$216))</f>
        <v>0</v>
      </c>
      <c r="L19" s="18" t="n">
        <f aca="false">IF($A19="",0,SUMPRODUCT(('Clockify Import'!G$5:G$216="2026-09")*('Clockify Import'!H$5:H$216=$A19)*'Clockify Import'!F$5:F$216))</f>
        <v>0</v>
      </c>
      <c r="M19" s="18" t="n">
        <f aca="false">IF($A19="",0,SUMPRODUCT(('Clockify Import'!G$5:G$216="2026-10")*('Clockify Import'!H$5:H$216=$A19)*'Clockify Import'!F$5:F$216))</f>
        <v>0</v>
      </c>
      <c r="N19" s="18" t="n">
        <f aca="false">IF($A19="",0,SUMPRODUCT(('Clockify Import'!G$5:G$216="2026-11")*('Clockify Import'!H$5:H$216=$A19)*'Clockify Import'!F$5:F$216))</f>
        <v>0</v>
      </c>
      <c r="O19" s="18" t="n">
        <f aca="false">IF($A19="",0,SUMPRODUCT(('Clockify Import'!G$5:G$216="2026-12")*('Clockify Import'!H$5:H$216=$A19)*'Clockify Import'!F$5:F$216))</f>
        <v>0</v>
      </c>
      <c r="P19" s="32" t="n">
        <f aca="false">SUM(D19:O19)</f>
        <v>0</v>
      </c>
      <c r="Q19" s="29" t="str">
        <f aca="false">IF(A19="","",Projekte!E17)</f>
        <v/>
      </c>
      <c r="R19" s="18" t="str">
        <f aca="false">IF(A19="","",Q19-P19)</f>
        <v/>
      </c>
    </row>
    <row r="20" customFormat="false" ht="15" hidden="false" customHeight="false" outlineLevel="0" collapsed="false">
      <c r="A20" s="15" t="str">
        <f aca="false">IF(Projekte!B18="","",Projekte!B18)</f>
        <v/>
      </c>
      <c r="B20" s="15" t="str">
        <f aca="false">IF(Projekte!C18="","",Projekte!C18)</f>
        <v/>
      </c>
      <c r="C20" s="28" t="str">
        <f aca="false">IF(A20="","",Projekte!I18)</f>
        <v/>
      </c>
      <c r="D20" s="18" t="n">
        <f aca="false">IF($A20="",0,SUMPRODUCT(('Clockify Import'!G$5:G$216="2026-01")*('Clockify Import'!H$5:H$216=$A20)*'Clockify Import'!F$5:F$216))</f>
        <v>0</v>
      </c>
      <c r="E20" s="18" t="n">
        <f aca="false">IF($A20="",0,SUMPRODUCT(('Clockify Import'!G$5:G$216="2026-02")*('Clockify Import'!H$5:H$216=$A20)*'Clockify Import'!F$5:F$216))</f>
        <v>0</v>
      </c>
      <c r="F20" s="18" t="n">
        <f aca="false">IF($A20="",0,SUMPRODUCT(('Clockify Import'!G$5:G$216="2026-03")*('Clockify Import'!H$5:H$216=$A20)*'Clockify Import'!F$5:F$216))</f>
        <v>0</v>
      </c>
      <c r="G20" s="18" t="n">
        <f aca="false">IF($A20="",0,SUMPRODUCT(('Clockify Import'!G$5:G$216="2026-04")*('Clockify Import'!H$5:H$216=$A20)*'Clockify Import'!F$5:F$216))</f>
        <v>0</v>
      </c>
      <c r="H20" s="18" t="n">
        <f aca="false">IF($A20="",0,SUMPRODUCT(('Clockify Import'!G$5:G$216="2026-05")*('Clockify Import'!H$5:H$216=$A20)*'Clockify Import'!F$5:F$216))</f>
        <v>0</v>
      </c>
      <c r="I20" s="18" t="n">
        <f aca="false">IF($A20="",0,SUMPRODUCT(('Clockify Import'!G$5:G$216="2026-06")*('Clockify Import'!H$5:H$216=$A20)*'Clockify Import'!F$5:F$216))</f>
        <v>0</v>
      </c>
      <c r="J20" s="18" t="n">
        <f aca="false">IF($A20="",0,SUMPRODUCT(('Clockify Import'!G$5:G$216="2026-07")*('Clockify Import'!H$5:H$216=$A20)*'Clockify Import'!F$5:F$216))</f>
        <v>0</v>
      </c>
      <c r="K20" s="18" t="n">
        <f aca="false">IF($A20="",0,SUMPRODUCT(('Clockify Import'!G$5:G$216="2026-08")*('Clockify Import'!H$5:H$216=$A20)*'Clockify Import'!F$5:F$216))</f>
        <v>0</v>
      </c>
      <c r="L20" s="18" t="n">
        <f aca="false">IF($A20="",0,SUMPRODUCT(('Clockify Import'!G$5:G$216="2026-09")*('Clockify Import'!H$5:H$216=$A20)*'Clockify Import'!F$5:F$216))</f>
        <v>0</v>
      </c>
      <c r="M20" s="18" t="n">
        <f aca="false">IF($A20="",0,SUMPRODUCT(('Clockify Import'!G$5:G$216="2026-10")*('Clockify Import'!H$5:H$216=$A20)*'Clockify Import'!F$5:F$216))</f>
        <v>0</v>
      </c>
      <c r="N20" s="18" t="n">
        <f aca="false">IF($A20="",0,SUMPRODUCT(('Clockify Import'!G$5:G$216="2026-11")*('Clockify Import'!H$5:H$216=$A20)*'Clockify Import'!F$5:F$216))</f>
        <v>0</v>
      </c>
      <c r="O20" s="18" t="n">
        <f aca="false">IF($A20="",0,SUMPRODUCT(('Clockify Import'!G$5:G$216="2026-12")*('Clockify Import'!H$5:H$216=$A20)*'Clockify Import'!F$5:F$216))</f>
        <v>0</v>
      </c>
      <c r="P20" s="32" t="n">
        <f aca="false">SUM(D20:O20)</f>
        <v>0</v>
      </c>
      <c r="Q20" s="29" t="str">
        <f aca="false">IF(A20="","",Projekte!E18)</f>
        <v/>
      </c>
      <c r="R20" s="18" t="str">
        <f aca="false">IF(A20="","",Q20-P20)</f>
        <v/>
      </c>
    </row>
    <row r="21" customFormat="false" ht="15" hidden="false" customHeight="false" outlineLevel="0" collapsed="false">
      <c r="A21" s="15" t="str">
        <f aca="false">IF(Projekte!B19="","",Projekte!B19)</f>
        <v/>
      </c>
      <c r="B21" s="15" t="str">
        <f aca="false">IF(Projekte!C19="","",Projekte!C19)</f>
        <v/>
      </c>
      <c r="C21" s="28" t="str">
        <f aca="false">IF(A21="","",Projekte!I19)</f>
        <v/>
      </c>
      <c r="D21" s="18" t="n">
        <f aca="false">IF($A21="",0,SUMPRODUCT(('Clockify Import'!G$5:G$216="2026-01")*('Clockify Import'!H$5:H$216=$A21)*'Clockify Import'!F$5:F$216))</f>
        <v>0</v>
      </c>
      <c r="E21" s="18" t="n">
        <f aca="false">IF($A21="",0,SUMPRODUCT(('Clockify Import'!G$5:G$216="2026-02")*('Clockify Import'!H$5:H$216=$A21)*'Clockify Import'!F$5:F$216))</f>
        <v>0</v>
      </c>
      <c r="F21" s="18" t="n">
        <f aca="false">IF($A21="",0,SUMPRODUCT(('Clockify Import'!G$5:G$216="2026-03")*('Clockify Import'!H$5:H$216=$A21)*'Clockify Import'!F$5:F$216))</f>
        <v>0</v>
      </c>
      <c r="G21" s="18" t="n">
        <f aca="false">IF($A21="",0,SUMPRODUCT(('Clockify Import'!G$5:G$216="2026-04")*('Clockify Import'!H$5:H$216=$A21)*'Clockify Import'!F$5:F$216))</f>
        <v>0</v>
      </c>
      <c r="H21" s="18" t="n">
        <f aca="false">IF($A21="",0,SUMPRODUCT(('Clockify Import'!G$5:G$216="2026-05")*('Clockify Import'!H$5:H$216=$A21)*'Clockify Import'!F$5:F$216))</f>
        <v>0</v>
      </c>
      <c r="I21" s="18" t="n">
        <f aca="false">IF($A21="",0,SUMPRODUCT(('Clockify Import'!G$5:G$216="2026-06")*('Clockify Import'!H$5:H$216=$A21)*'Clockify Import'!F$5:F$216))</f>
        <v>0</v>
      </c>
      <c r="J21" s="18" t="n">
        <f aca="false">IF($A21="",0,SUMPRODUCT(('Clockify Import'!G$5:G$216="2026-07")*('Clockify Import'!H$5:H$216=$A21)*'Clockify Import'!F$5:F$216))</f>
        <v>0</v>
      </c>
      <c r="K21" s="18" t="n">
        <f aca="false">IF($A21="",0,SUMPRODUCT(('Clockify Import'!G$5:G$216="2026-08")*('Clockify Import'!H$5:H$216=$A21)*'Clockify Import'!F$5:F$216))</f>
        <v>0</v>
      </c>
      <c r="L21" s="18" t="n">
        <f aca="false">IF($A21="",0,SUMPRODUCT(('Clockify Import'!G$5:G$216="2026-09")*('Clockify Import'!H$5:H$216=$A21)*'Clockify Import'!F$5:F$216))</f>
        <v>0</v>
      </c>
      <c r="M21" s="18" t="n">
        <f aca="false">IF($A21="",0,SUMPRODUCT(('Clockify Import'!G$5:G$216="2026-10")*('Clockify Import'!H$5:H$216=$A21)*'Clockify Import'!F$5:F$216))</f>
        <v>0</v>
      </c>
      <c r="N21" s="18" t="n">
        <f aca="false">IF($A21="",0,SUMPRODUCT(('Clockify Import'!G$5:G$216="2026-11")*('Clockify Import'!H$5:H$216=$A21)*'Clockify Import'!F$5:F$216))</f>
        <v>0</v>
      </c>
      <c r="O21" s="18" t="n">
        <f aca="false">IF($A21="",0,SUMPRODUCT(('Clockify Import'!G$5:G$216="2026-12")*('Clockify Import'!H$5:H$216=$A21)*'Clockify Import'!F$5:F$216))</f>
        <v>0</v>
      </c>
      <c r="P21" s="32" t="n">
        <f aca="false">SUM(D21:O21)</f>
        <v>0</v>
      </c>
      <c r="Q21" s="29" t="str">
        <f aca="false">IF(A21="","",Projekte!E19)</f>
        <v/>
      </c>
      <c r="R21" s="18" t="str">
        <f aca="false">IF(A21="","",Q21-P21)</f>
        <v/>
      </c>
    </row>
    <row r="22" customFormat="false" ht="15" hidden="false" customHeight="false" outlineLevel="0" collapsed="false">
      <c r="A22" s="15" t="str">
        <f aca="false">IF(Projekte!B20="","",Projekte!B20)</f>
        <v/>
      </c>
      <c r="B22" s="15" t="str">
        <f aca="false">IF(Projekte!C20="","",Projekte!C20)</f>
        <v/>
      </c>
      <c r="C22" s="28" t="str">
        <f aca="false">IF(A22="","",Projekte!I20)</f>
        <v/>
      </c>
      <c r="D22" s="18" t="n">
        <f aca="false">IF($A22="",0,SUMPRODUCT(('Clockify Import'!G$5:G$216="2026-01")*('Clockify Import'!H$5:H$216=$A22)*'Clockify Import'!F$5:F$216))</f>
        <v>0</v>
      </c>
      <c r="E22" s="18" t="n">
        <f aca="false">IF($A22="",0,SUMPRODUCT(('Clockify Import'!G$5:G$216="2026-02")*('Clockify Import'!H$5:H$216=$A22)*'Clockify Import'!F$5:F$216))</f>
        <v>0</v>
      </c>
      <c r="F22" s="18" t="n">
        <f aca="false">IF($A22="",0,SUMPRODUCT(('Clockify Import'!G$5:G$216="2026-03")*('Clockify Import'!H$5:H$216=$A22)*'Clockify Import'!F$5:F$216))</f>
        <v>0</v>
      </c>
      <c r="G22" s="18" t="n">
        <f aca="false">IF($A22="",0,SUMPRODUCT(('Clockify Import'!G$5:G$216="2026-04")*('Clockify Import'!H$5:H$216=$A22)*'Clockify Import'!F$5:F$216))</f>
        <v>0</v>
      </c>
      <c r="H22" s="18" t="n">
        <f aca="false">IF($A22="",0,SUMPRODUCT(('Clockify Import'!G$5:G$216="2026-05")*('Clockify Import'!H$5:H$216=$A22)*'Clockify Import'!F$5:F$216))</f>
        <v>0</v>
      </c>
      <c r="I22" s="18" t="n">
        <f aca="false">IF($A22="",0,SUMPRODUCT(('Clockify Import'!G$5:G$216="2026-06")*('Clockify Import'!H$5:H$216=$A22)*'Clockify Import'!F$5:F$216))</f>
        <v>0</v>
      </c>
      <c r="J22" s="18" t="n">
        <f aca="false">IF($A22="",0,SUMPRODUCT(('Clockify Import'!G$5:G$216="2026-07")*('Clockify Import'!H$5:H$216=$A22)*'Clockify Import'!F$5:F$216))</f>
        <v>0</v>
      </c>
      <c r="K22" s="18" t="n">
        <f aca="false">IF($A22="",0,SUMPRODUCT(('Clockify Import'!G$5:G$216="2026-08")*('Clockify Import'!H$5:H$216=$A22)*'Clockify Import'!F$5:F$216))</f>
        <v>0</v>
      </c>
      <c r="L22" s="18" t="n">
        <f aca="false">IF($A22="",0,SUMPRODUCT(('Clockify Import'!G$5:G$216="2026-09")*('Clockify Import'!H$5:H$216=$A22)*'Clockify Import'!F$5:F$216))</f>
        <v>0</v>
      </c>
      <c r="M22" s="18" t="n">
        <f aca="false">IF($A22="",0,SUMPRODUCT(('Clockify Import'!G$5:G$216="2026-10")*('Clockify Import'!H$5:H$216=$A22)*'Clockify Import'!F$5:F$216))</f>
        <v>0</v>
      </c>
      <c r="N22" s="18" t="n">
        <f aca="false">IF($A22="",0,SUMPRODUCT(('Clockify Import'!G$5:G$216="2026-11")*('Clockify Import'!H$5:H$216=$A22)*'Clockify Import'!F$5:F$216))</f>
        <v>0</v>
      </c>
      <c r="O22" s="18" t="n">
        <f aca="false">IF($A22="",0,SUMPRODUCT(('Clockify Import'!G$5:G$216="2026-12")*('Clockify Import'!H$5:H$216=$A22)*'Clockify Import'!F$5:F$216))</f>
        <v>0</v>
      </c>
      <c r="P22" s="32" t="n">
        <f aca="false">SUM(D22:O22)</f>
        <v>0</v>
      </c>
      <c r="Q22" s="29" t="str">
        <f aca="false">IF(A22="","",Projekte!E20)</f>
        <v/>
      </c>
      <c r="R22" s="18" t="str">
        <f aca="false">IF(A22="","",Q22-P22)</f>
        <v/>
      </c>
    </row>
    <row r="23" customFormat="false" ht="15" hidden="false" customHeight="false" outlineLevel="0" collapsed="false">
      <c r="A23" s="15" t="str">
        <f aca="false">IF(Projekte!B21="","",Projekte!B21)</f>
        <v/>
      </c>
      <c r="B23" s="15" t="str">
        <f aca="false">IF(Projekte!C21="","",Projekte!C21)</f>
        <v/>
      </c>
      <c r="C23" s="28" t="str">
        <f aca="false">IF(A23="","",Projekte!I21)</f>
        <v/>
      </c>
      <c r="D23" s="18" t="n">
        <f aca="false">IF($A23="",0,SUMPRODUCT(('Clockify Import'!G$5:G$216="2026-01")*('Clockify Import'!H$5:H$216=$A23)*'Clockify Import'!F$5:F$216))</f>
        <v>0</v>
      </c>
      <c r="E23" s="18" t="n">
        <f aca="false">IF($A23="",0,SUMPRODUCT(('Clockify Import'!G$5:G$216="2026-02")*('Clockify Import'!H$5:H$216=$A23)*'Clockify Import'!F$5:F$216))</f>
        <v>0</v>
      </c>
      <c r="F23" s="18" t="n">
        <f aca="false">IF($A23="",0,SUMPRODUCT(('Clockify Import'!G$5:G$216="2026-03")*('Clockify Import'!H$5:H$216=$A23)*'Clockify Import'!F$5:F$216))</f>
        <v>0</v>
      </c>
      <c r="G23" s="18" t="n">
        <f aca="false">IF($A23="",0,SUMPRODUCT(('Clockify Import'!G$5:G$216="2026-04")*('Clockify Import'!H$5:H$216=$A23)*'Clockify Import'!F$5:F$216))</f>
        <v>0</v>
      </c>
      <c r="H23" s="18" t="n">
        <f aca="false">IF($A23="",0,SUMPRODUCT(('Clockify Import'!G$5:G$216="2026-05")*('Clockify Import'!H$5:H$216=$A23)*'Clockify Import'!F$5:F$216))</f>
        <v>0</v>
      </c>
      <c r="I23" s="18" t="n">
        <f aca="false">IF($A23="",0,SUMPRODUCT(('Clockify Import'!G$5:G$216="2026-06")*('Clockify Import'!H$5:H$216=$A23)*'Clockify Import'!F$5:F$216))</f>
        <v>0</v>
      </c>
      <c r="J23" s="18" t="n">
        <f aca="false">IF($A23="",0,SUMPRODUCT(('Clockify Import'!G$5:G$216="2026-07")*('Clockify Import'!H$5:H$216=$A23)*'Clockify Import'!F$5:F$216))</f>
        <v>0</v>
      </c>
      <c r="K23" s="18" t="n">
        <f aca="false">IF($A23="",0,SUMPRODUCT(('Clockify Import'!G$5:G$216="2026-08")*('Clockify Import'!H$5:H$216=$A23)*'Clockify Import'!F$5:F$216))</f>
        <v>0</v>
      </c>
      <c r="L23" s="18" t="n">
        <f aca="false">IF($A23="",0,SUMPRODUCT(('Clockify Import'!G$5:G$216="2026-09")*('Clockify Import'!H$5:H$216=$A23)*'Clockify Import'!F$5:F$216))</f>
        <v>0</v>
      </c>
      <c r="M23" s="18" t="n">
        <f aca="false">IF($A23="",0,SUMPRODUCT(('Clockify Import'!G$5:G$216="2026-10")*('Clockify Import'!H$5:H$216=$A23)*'Clockify Import'!F$5:F$216))</f>
        <v>0</v>
      </c>
      <c r="N23" s="18" t="n">
        <f aca="false">IF($A23="",0,SUMPRODUCT(('Clockify Import'!G$5:G$216="2026-11")*('Clockify Import'!H$5:H$216=$A23)*'Clockify Import'!F$5:F$216))</f>
        <v>0</v>
      </c>
      <c r="O23" s="18" t="n">
        <f aca="false">IF($A23="",0,SUMPRODUCT(('Clockify Import'!G$5:G$216="2026-12")*('Clockify Import'!H$5:H$216=$A23)*'Clockify Import'!F$5:F$216))</f>
        <v>0</v>
      </c>
      <c r="P23" s="32" t="n">
        <f aca="false">SUM(D23:O23)</f>
        <v>0</v>
      </c>
      <c r="Q23" s="29" t="str">
        <f aca="false">IF(A23="","",Projekte!E21)</f>
        <v/>
      </c>
      <c r="R23" s="18" t="str">
        <f aca="false">IF(A23="","",Q23-P23)</f>
        <v/>
      </c>
    </row>
    <row r="24" customFormat="false" ht="15" hidden="false" customHeight="false" outlineLevel="0" collapsed="false">
      <c r="A24" s="15" t="str">
        <f aca="false">IF(Projekte!B22="","",Projekte!B22)</f>
        <v/>
      </c>
      <c r="B24" s="15" t="str">
        <f aca="false">IF(Projekte!C22="","",Projekte!C22)</f>
        <v/>
      </c>
      <c r="C24" s="28" t="str">
        <f aca="false">IF(A24="","",Projekte!I22)</f>
        <v/>
      </c>
      <c r="D24" s="18" t="n">
        <f aca="false">IF($A24="",0,SUMPRODUCT(('Clockify Import'!G$5:G$216="2026-01")*('Clockify Import'!H$5:H$216=$A24)*'Clockify Import'!F$5:F$216))</f>
        <v>0</v>
      </c>
      <c r="E24" s="18" t="n">
        <f aca="false">IF($A24="",0,SUMPRODUCT(('Clockify Import'!G$5:G$216="2026-02")*('Clockify Import'!H$5:H$216=$A24)*'Clockify Import'!F$5:F$216))</f>
        <v>0</v>
      </c>
      <c r="F24" s="18" t="n">
        <f aca="false">IF($A24="",0,SUMPRODUCT(('Clockify Import'!G$5:G$216="2026-03")*('Clockify Import'!H$5:H$216=$A24)*'Clockify Import'!F$5:F$216))</f>
        <v>0</v>
      </c>
      <c r="G24" s="18" t="n">
        <f aca="false">IF($A24="",0,SUMPRODUCT(('Clockify Import'!G$5:G$216="2026-04")*('Clockify Import'!H$5:H$216=$A24)*'Clockify Import'!F$5:F$216))</f>
        <v>0</v>
      </c>
      <c r="H24" s="18" t="n">
        <f aca="false">IF($A24="",0,SUMPRODUCT(('Clockify Import'!G$5:G$216="2026-05")*('Clockify Import'!H$5:H$216=$A24)*'Clockify Import'!F$5:F$216))</f>
        <v>0</v>
      </c>
      <c r="I24" s="18" t="n">
        <f aca="false">IF($A24="",0,SUMPRODUCT(('Clockify Import'!G$5:G$216="2026-06")*('Clockify Import'!H$5:H$216=$A24)*'Clockify Import'!F$5:F$216))</f>
        <v>0</v>
      </c>
      <c r="J24" s="18" t="n">
        <f aca="false">IF($A24="",0,SUMPRODUCT(('Clockify Import'!G$5:G$216="2026-07")*('Clockify Import'!H$5:H$216=$A24)*'Clockify Import'!F$5:F$216))</f>
        <v>0</v>
      </c>
      <c r="K24" s="18" t="n">
        <f aca="false">IF($A24="",0,SUMPRODUCT(('Clockify Import'!G$5:G$216="2026-08")*('Clockify Import'!H$5:H$216=$A24)*'Clockify Import'!F$5:F$216))</f>
        <v>0</v>
      </c>
      <c r="L24" s="18" t="n">
        <f aca="false">IF($A24="",0,SUMPRODUCT(('Clockify Import'!G$5:G$216="2026-09")*('Clockify Import'!H$5:H$216=$A24)*'Clockify Import'!F$5:F$216))</f>
        <v>0</v>
      </c>
      <c r="M24" s="18" t="n">
        <f aca="false">IF($A24="",0,SUMPRODUCT(('Clockify Import'!G$5:G$216="2026-10")*('Clockify Import'!H$5:H$216=$A24)*'Clockify Import'!F$5:F$216))</f>
        <v>0</v>
      </c>
      <c r="N24" s="18" t="n">
        <f aca="false">IF($A24="",0,SUMPRODUCT(('Clockify Import'!G$5:G$216="2026-11")*('Clockify Import'!H$5:H$216=$A24)*'Clockify Import'!F$5:F$216))</f>
        <v>0</v>
      </c>
      <c r="O24" s="18" t="n">
        <f aca="false">IF($A24="",0,SUMPRODUCT(('Clockify Import'!G$5:G$216="2026-12")*('Clockify Import'!H$5:H$216=$A24)*'Clockify Import'!F$5:F$216))</f>
        <v>0</v>
      </c>
      <c r="P24" s="32" t="n">
        <f aca="false">SUM(D24:O24)</f>
        <v>0</v>
      </c>
      <c r="Q24" s="29" t="str">
        <f aca="false">IF(A24="","",Projekte!E22)</f>
        <v/>
      </c>
      <c r="R24" s="18" t="str">
        <f aca="false">IF(A24="","",Q24-P24)</f>
        <v/>
      </c>
    </row>
    <row r="25" customFormat="false" ht="15" hidden="false" customHeight="false" outlineLevel="0" collapsed="false">
      <c r="A25" s="15" t="str">
        <f aca="false">IF(Projekte!B23="","",Projekte!B23)</f>
        <v/>
      </c>
      <c r="B25" s="15" t="str">
        <f aca="false">IF(Projekte!C23="","",Projekte!C23)</f>
        <v/>
      </c>
      <c r="C25" s="28" t="str">
        <f aca="false">IF(A25="","",Projekte!I23)</f>
        <v/>
      </c>
      <c r="D25" s="18" t="n">
        <f aca="false">IF($A25="",0,SUMPRODUCT(('Clockify Import'!G$5:G$216="2026-01")*('Clockify Import'!H$5:H$216=$A25)*'Clockify Import'!F$5:F$216))</f>
        <v>0</v>
      </c>
      <c r="E25" s="18" t="n">
        <f aca="false">IF($A25="",0,SUMPRODUCT(('Clockify Import'!G$5:G$216="2026-02")*('Clockify Import'!H$5:H$216=$A25)*'Clockify Import'!F$5:F$216))</f>
        <v>0</v>
      </c>
      <c r="F25" s="18" t="n">
        <f aca="false">IF($A25="",0,SUMPRODUCT(('Clockify Import'!G$5:G$216="2026-03")*('Clockify Import'!H$5:H$216=$A25)*'Clockify Import'!F$5:F$216))</f>
        <v>0</v>
      </c>
      <c r="G25" s="18" t="n">
        <f aca="false">IF($A25="",0,SUMPRODUCT(('Clockify Import'!G$5:G$216="2026-04")*('Clockify Import'!H$5:H$216=$A25)*'Clockify Import'!F$5:F$216))</f>
        <v>0</v>
      </c>
      <c r="H25" s="18" t="n">
        <f aca="false">IF($A25="",0,SUMPRODUCT(('Clockify Import'!G$5:G$216="2026-05")*('Clockify Import'!H$5:H$216=$A25)*'Clockify Import'!F$5:F$216))</f>
        <v>0</v>
      </c>
      <c r="I25" s="18" t="n">
        <f aca="false">IF($A25="",0,SUMPRODUCT(('Clockify Import'!G$5:G$216="2026-06")*('Clockify Import'!H$5:H$216=$A25)*'Clockify Import'!F$5:F$216))</f>
        <v>0</v>
      </c>
      <c r="J25" s="18" t="n">
        <f aca="false">IF($A25="",0,SUMPRODUCT(('Clockify Import'!G$5:G$216="2026-07")*('Clockify Import'!H$5:H$216=$A25)*'Clockify Import'!F$5:F$216))</f>
        <v>0</v>
      </c>
      <c r="K25" s="18" t="n">
        <f aca="false">IF($A25="",0,SUMPRODUCT(('Clockify Import'!G$5:G$216="2026-08")*('Clockify Import'!H$5:H$216=$A25)*'Clockify Import'!F$5:F$216))</f>
        <v>0</v>
      </c>
      <c r="L25" s="18" t="n">
        <f aca="false">IF($A25="",0,SUMPRODUCT(('Clockify Import'!G$5:G$216="2026-09")*('Clockify Import'!H$5:H$216=$A25)*'Clockify Import'!F$5:F$216))</f>
        <v>0</v>
      </c>
      <c r="M25" s="18" t="n">
        <f aca="false">IF($A25="",0,SUMPRODUCT(('Clockify Import'!G$5:G$216="2026-10")*('Clockify Import'!H$5:H$216=$A25)*'Clockify Import'!F$5:F$216))</f>
        <v>0</v>
      </c>
      <c r="N25" s="18" t="n">
        <f aca="false">IF($A25="",0,SUMPRODUCT(('Clockify Import'!G$5:G$216="2026-11")*('Clockify Import'!H$5:H$216=$A25)*'Clockify Import'!F$5:F$216))</f>
        <v>0</v>
      </c>
      <c r="O25" s="18" t="n">
        <f aca="false">IF($A25="",0,SUMPRODUCT(('Clockify Import'!G$5:G$216="2026-12")*('Clockify Import'!H$5:H$216=$A25)*'Clockify Import'!F$5:F$216))</f>
        <v>0</v>
      </c>
      <c r="P25" s="32" t="n">
        <f aca="false">SUM(D25:O25)</f>
        <v>0</v>
      </c>
      <c r="Q25" s="29" t="str">
        <f aca="false">IF(A25="","",Projekte!E23)</f>
        <v/>
      </c>
      <c r="R25" s="18" t="str">
        <f aca="false">IF(A25="","",Q25-P25)</f>
        <v/>
      </c>
    </row>
    <row r="26" customFormat="false" ht="15" hidden="false" customHeight="false" outlineLevel="0" collapsed="false">
      <c r="A26" s="15" t="str">
        <f aca="false">IF(Projekte!B24="","",Projekte!B24)</f>
        <v/>
      </c>
      <c r="B26" s="15" t="str">
        <f aca="false">IF(Projekte!C24="","",Projekte!C24)</f>
        <v/>
      </c>
      <c r="C26" s="28" t="str">
        <f aca="false">IF(A26="","",Projekte!I24)</f>
        <v/>
      </c>
      <c r="D26" s="18" t="n">
        <f aca="false">IF($A26="",0,SUMPRODUCT(('Clockify Import'!G$5:G$216="2026-01")*('Clockify Import'!H$5:H$216=$A26)*'Clockify Import'!F$5:F$216))</f>
        <v>0</v>
      </c>
      <c r="E26" s="18" t="n">
        <f aca="false">IF($A26="",0,SUMPRODUCT(('Clockify Import'!G$5:G$216="2026-02")*('Clockify Import'!H$5:H$216=$A26)*'Clockify Import'!F$5:F$216))</f>
        <v>0</v>
      </c>
      <c r="F26" s="18" t="n">
        <f aca="false">IF($A26="",0,SUMPRODUCT(('Clockify Import'!G$5:G$216="2026-03")*('Clockify Import'!H$5:H$216=$A26)*'Clockify Import'!F$5:F$216))</f>
        <v>0</v>
      </c>
      <c r="G26" s="18" t="n">
        <f aca="false">IF($A26="",0,SUMPRODUCT(('Clockify Import'!G$5:G$216="2026-04")*('Clockify Import'!H$5:H$216=$A26)*'Clockify Import'!F$5:F$216))</f>
        <v>0</v>
      </c>
      <c r="H26" s="18" t="n">
        <f aca="false">IF($A26="",0,SUMPRODUCT(('Clockify Import'!G$5:G$216="2026-05")*('Clockify Import'!H$5:H$216=$A26)*'Clockify Import'!F$5:F$216))</f>
        <v>0</v>
      </c>
      <c r="I26" s="18" t="n">
        <f aca="false">IF($A26="",0,SUMPRODUCT(('Clockify Import'!G$5:G$216="2026-06")*('Clockify Import'!H$5:H$216=$A26)*'Clockify Import'!F$5:F$216))</f>
        <v>0</v>
      </c>
      <c r="J26" s="18" t="n">
        <f aca="false">IF($A26="",0,SUMPRODUCT(('Clockify Import'!G$5:G$216="2026-07")*('Clockify Import'!H$5:H$216=$A26)*'Clockify Import'!F$5:F$216))</f>
        <v>0</v>
      </c>
      <c r="K26" s="18" t="n">
        <f aca="false">IF($A26="",0,SUMPRODUCT(('Clockify Import'!G$5:G$216="2026-08")*('Clockify Import'!H$5:H$216=$A26)*'Clockify Import'!F$5:F$216))</f>
        <v>0</v>
      </c>
      <c r="L26" s="18" t="n">
        <f aca="false">IF($A26="",0,SUMPRODUCT(('Clockify Import'!G$5:G$216="2026-09")*('Clockify Import'!H$5:H$216=$A26)*'Clockify Import'!F$5:F$216))</f>
        <v>0</v>
      </c>
      <c r="M26" s="18" t="n">
        <f aca="false">IF($A26="",0,SUMPRODUCT(('Clockify Import'!G$5:G$216="2026-10")*('Clockify Import'!H$5:H$216=$A26)*'Clockify Import'!F$5:F$216))</f>
        <v>0</v>
      </c>
      <c r="N26" s="18" t="n">
        <f aca="false">IF($A26="",0,SUMPRODUCT(('Clockify Import'!G$5:G$216="2026-11")*('Clockify Import'!H$5:H$216=$A26)*'Clockify Import'!F$5:F$216))</f>
        <v>0</v>
      </c>
      <c r="O26" s="18" t="n">
        <f aca="false">IF($A26="",0,SUMPRODUCT(('Clockify Import'!G$5:G$216="2026-12")*('Clockify Import'!H$5:H$216=$A26)*'Clockify Import'!F$5:F$216))</f>
        <v>0</v>
      </c>
      <c r="P26" s="32" t="n">
        <f aca="false">SUM(D26:O26)</f>
        <v>0</v>
      </c>
      <c r="Q26" s="29" t="str">
        <f aca="false">IF(A26="","",Projekte!E24)</f>
        <v/>
      </c>
      <c r="R26" s="18" t="str">
        <f aca="false">IF(A26="","",Q26-P26)</f>
        <v/>
      </c>
    </row>
    <row r="30" customFormat="false" ht="15" hidden="false" customHeight="false" outlineLevel="0" collapsed="false">
      <c r="A30" s="31" t="s">
        <v>72</v>
      </c>
      <c r="B30" s="31"/>
      <c r="C30" s="31"/>
      <c r="D30" s="31"/>
      <c r="E30" s="31"/>
      <c r="F30" s="31"/>
      <c r="G30" s="31"/>
    </row>
    <row r="31" customFormat="false" ht="15" hidden="false" customHeight="false" outlineLevel="0" collapsed="false">
      <c r="A31" s="3" t="s">
        <v>21</v>
      </c>
      <c r="B31" s="3" t="s">
        <v>50</v>
      </c>
      <c r="C31" s="3" t="s">
        <v>4</v>
      </c>
      <c r="D31" s="3" t="s">
        <v>20</v>
      </c>
      <c r="E31" s="3" t="s">
        <v>73</v>
      </c>
    </row>
    <row r="32" customFormat="false" ht="15" hidden="false" customHeight="false" outlineLevel="0" collapsed="false">
      <c r="A32" s="33" t="n">
        <f aca="false">IF('Clockify Import'!A5="","",'Clockify Import'!E5)</f>
        <v>46072</v>
      </c>
      <c r="B32" s="15" t="str">
        <f aca="false">IF('Clockify Import'!A5="","",'Clockify Import'!H5)</f>
        <v>Thees - Azure Migration Advisory &amp; Implement</v>
      </c>
      <c r="C32" s="15" t="str">
        <f aca="false">IF('Clockify Import'!A5="","",'Clockify Import'!B5)</f>
        <v>Thees</v>
      </c>
      <c r="D32" s="15" t="str">
        <f aca="false">IF('Clockify Import'!A5="","",'Clockify Import'!D5)</f>
        <v>Montserrat Graell</v>
      </c>
      <c r="E32" s="29" t="n">
        <f aca="false">IF('Clockify Import'!A5="","",'Clockify Import'!F5)</f>
        <v>3</v>
      </c>
    </row>
    <row r="33" customFormat="false" ht="15" hidden="false" customHeight="false" outlineLevel="0" collapsed="false">
      <c r="A33" s="33" t="n">
        <f aca="false">IF('Clockify Import'!A6="","",'Clockify Import'!E6)</f>
        <v>46071</v>
      </c>
      <c r="B33" s="15" t="str">
        <f aca="false">IF('Clockify Import'!A6="","",'Clockify Import'!H6)</f>
        <v>Thees - Azure Migration Advisory &amp; Implement</v>
      </c>
      <c r="C33" s="15" t="str">
        <f aca="false">IF('Clockify Import'!A6="","",'Clockify Import'!B6)</f>
        <v>Thees</v>
      </c>
      <c r="D33" s="15" t="str">
        <f aca="false">IF('Clockify Import'!A6="","",'Clockify Import'!D6)</f>
        <v>Montserrat Graell</v>
      </c>
      <c r="E33" s="29" t="n">
        <f aca="false">IF('Clockify Import'!A6="","",'Clockify Import'!F6)</f>
        <v>3</v>
      </c>
    </row>
    <row r="34" customFormat="false" ht="15" hidden="false" customHeight="false" outlineLevel="0" collapsed="false">
      <c r="A34" s="33" t="n">
        <f aca="false">IF('Clockify Import'!A7="","",'Clockify Import'!E7)</f>
        <v>46070</v>
      </c>
      <c r="B34" s="15" t="str">
        <f aca="false">IF('Clockify Import'!A7="","",'Clockify Import'!H7)</f>
        <v>Thees - Azure Migration Advisory &amp; Implement</v>
      </c>
      <c r="C34" s="15" t="str">
        <f aca="false">IF('Clockify Import'!A7="","",'Clockify Import'!B7)</f>
        <v>Thees</v>
      </c>
      <c r="D34" s="15" t="str">
        <f aca="false">IF('Clockify Import'!A7="","",'Clockify Import'!D7)</f>
        <v>Montserrat Graell</v>
      </c>
      <c r="E34" s="29" t="n">
        <f aca="false">IF('Clockify Import'!A7="","",'Clockify Import'!F7)</f>
        <v>3</v>
      </c>
    </row>
    <row r="35" customFormat="false" ht="15" hidden="false" customHeight="false" outlineLevel="0" collapsed="false">
      <c r="A35" s="33" t="n">
        <f aca="false">IF('Clockify Import'!A8="","",'Clockify Import'!E8)</f>
        <v>46069</v>
      </c>
      <c r="B35" s="15" t="str">
        <f aca="false">IF('Clockify Import'!A8="","",'Clockify Import'!H8)</f>
        <v>Thees - Azure Migration Advisory &amp; Implement</v>
      </c>
      <c r="C35" s="15" t="str">
        <f aca="false">IF('Clockify Import'!A8="","",'Clockify Import'!B8)</f>
        <v>Thees</v>
      </c>
      <c r="D35" s="15" t="str">
        <f aca="false">IF('Clockify Import'!A8="","",'Clockify Import'!D8)</f>
        <v>Montserrat Graell</v>
      </c>
      <c r="E35" s="29" t="n">
        <f aca="false">IF('Clockify Import'!A8="","",'Clockify Import'!F8)</f>
        <v>3</v>
      </c>
    </row>
    <row r="36" customFormat="false" ht="15" hidden="false" customHeight="false" outlineLevel="0" collapsed="false">
      <c r="A36" s="33" t="n">
        <f aca="false">IF('Clockify Import'!A9="","",'Clockify Import'!E9)</f>
        <v>46066</v>
      </c>
      <c r="B36" s="15" t="str">
        <f aca="false">IF('Clockify Import'!A9="","",'Clockify Import'!H9)</f>
        <v>Thees - Azure Migration Advisory &amp; Implement</v>
      </c>
      <c r="C36" s="15" t="str">
        <f aca="false">IF('Clockify Import'!A9="","",'Clockify Import'!B9)</f>
        <v>Thees</v>
      </c>
      <c r="D36" s="15" t="str">
        <f aca="false">IF('Clockify Import'!A9="","",'Clockify Import'!D9)</f>
        <v>Montserrat Graell</v>
      </c>
      <c r="E36" s="29" t="n">
        <f aca="false">IF('Clockify Import'!A9="","",'Clockify Import'!F9)</f>
        <v>2</v>
      </c>
    </row>
    <row r="37" customFormat="false" ht="15" hidden="false" customHeight="false" outlineLevel="0" collapsed="false">
      <c r="A37" s="33" t="n">
        <f aca="false">IF('Clockify Import'!A10="","",'Clockify Import'!E10)</f>
        <v>46064</v>
      </c>
      <c r="B37" s="15" t="str">
        <f aca="false">IF('Clockify Import'!A10="","",'Clockify Import'!H10)</f>
        <v>Thees - Azure Migration Advisory &amp; Implement</v>
      </c>
      <c r="C37" s="15" t="str">
        <f aca="false">IF('Clockify Import'!A10="","",'Clockify Import'!B10)</f>
        <v>Thees</v>
      </c>
      <c r="D37" s="15" t="str">
        <f aca="false">IF('Clockify Import'!A10="","",'Clockify Import'!D10)</f>
        <v>Montserrat Graell</v>
      </c>
      <c r="E37" s="29" t="n">
        <f aca="false">IF('Clockify Import'!A10="","",'Clockify Import'!F10)</f>
        <v>3</v>
      </c>
    </row>
    <row r="38" customFormat="false" ht="15" hidden="false" customHeight="false" outlineLevel="0" collapsed="false">
      <c r="A38" s="33" t="n">
        <f aca="false">IF('Clockify Import'!A11="","",'Clockify Import'!E11)</f>
        <v>46062</v>
      </c>
      <c r="B38" s="15" t="str">
        <f aca="false">IF('Clockify Import'!A11="","",'Clockify Import'!H11)</f>
        <v>Thees - Azure Migration Advisory &amp; Implement</v>
      </c>
      <c r="C38" s="15" t="str">
        <f aca="false">IF('Clockify Import'!A11="","",'Clockify Import'!B11)</f>
        <v>Thees</v>
      </c>
      <c r="D38" s="15" t="str">
        <f aca="false">IF('Clockify Import'!A11="","",'Clockify Import'!D11)</f>
        <v>Montserrat Graell</v>
      </c>
      <c r="E38" s="29" t="n">
        <f aca="false">IF('Clockify Import'!A11="","",'Clockify Import'!F11)</f>
        <v>3</v>
      </c>
    </row>
    <row r="39" customFormat="false" ht="15" hidden="false" customHeight="false" outlineLevel="0" collapsed="false">
      <c r="A39" s="33" t="n">
        <f aca="false">IF('Clockify Import'!A12="","",'Clockify Import'!E12)</f>
        <v>46059</v>
      </c>
      <c r="B39" s="15" t="str">
        <f aca="false">IF('Clockify Import'!A12="","",'Clockify Import'!H12)</f>
        <v>Thees - Azure Migration Advisory &amp; Implement</v>
      </c>
      <c r="C39" s="15" t="str">
        <f aca="false">IF('Clockify Import'!A12="","",'Clockify Import'!B12)</f>
        <v>Thees</v>
      </c>
      <c r="D39" s="15" t="str">
        <f aca="false">IF('Clockify Import'!A12="","",'Clockify Import'!D12)</f>
        <v>Montserrat Graell</v>
      </c>
      <c r="E39" s="29" t="n">
        <f aca="false">IF('Clockify Import'!A12="","",'Clockify Import'!F12)</f>
        <v>4</v>
      </c>
    </row>
    <row r="40" customFormat="false" ht="15" hidden="false" customHeight="false" outlineLevel="0" collapsed="false">
      <c r="A40" s="33" t="n">
        <f aca="false">IF('Clockify Import'!A13="","",'Clockify Import'!E13)</f>
        <v>46058</v>
      </c>
      <c r="B40" s="15" t="str">
        <f aca="false">IF('Clockify Import'!A13="","",'Clockify Import'!H13)</f>
        <v>Thees - Azure Migration Advisory &amp; Implement</v>
      </c>
      <c r="C40" s="15" t="str">
        <f aca="false">IF('Clockify Import'!A13="","",'Clockify Import'!B13)</f>
        <v>Thees</v>
      </c>
      <c r="D40" s="15" t="str">
        <f aca="false">IF('Clockify Import'!A13="","",'Clockify Import'!D13)</f>
        <v>Montserrat Graell</v>
      </c>
      <c r="E40" s="29" t="n">
        <f aca="false">IF('Clockify Import'!A13="","",'Clockify Import'!F13)</f>
        <v>4</v>
      </c>
    </row>
    <row r="41" customFormat="false" ht="15" hidden="false" customHeight="false" outlineLevel="0" collapsed="false">
      <c r="A41" s="33" t="n">
        <f aca="false">IF('Clockify Import'!A14="","",'Clockify Import'!E14)</f>
        <v>46057</v>
      </c>
      <c r="B41" s="15" t="str">
        <f aca="false">IF('Clockify Import'!A14="","",'Clockify Import'!H14)</f>
        <v>Thees - Azure Migration Advisory &amp; Implement</v>
      </c>
      <c r="C41" s="15" t="str">
        <f aca="false">IF('Clockify Import'!A14="","",'Clockify Import'!B14)</f>
        <v>Thees</v>
      </c>
      <c r="D41" s="15" t="str">
        <f aca="false">IF('Clockify Import'!A14="","",'Clockify Import'!D14)</f>
        <v>Montserrat Graell</v>
      </c>
      <c r="E41" s="29" t="n">
        <f aca="false">IF('Clockify Import'!A14="","",'Clockify Import'!F14)</f>
        <v>4</v>
      </c>
    </row>
    <row r="42" customFormat="false" ht="15" hidden="false" customHeight="false" outlineLevel="0" collapsed="false">
      <c r="A42" s="33" t="n">
        <f aca="false">IF('Clockify Import'!A15="","",'Clockify Import'!E15)</f>
        <v>46056</v>
      </c>
      <c r="B42" s="15" t="str">
        <f aca="false">IF('Clockify Import'!A15="","",'Clockify Import'!H15)</f>
        <v>Thees - Azure Migration Advisory &amp; Implement</v>
      </c>
      <c r="C42" s="15" t="str">
        <f aca="false">IF('Clockify Import'!A15="","",'Clockify Import'!B15)</f>
        <v>Thees</v>
      </c>
      <c r="D42" s="15" t="str">
        <f aca="false">IF('Clockify Import'!A15="","",'Clockify Import'!D15)</f>
        <v>Montserrat Graell</v>
      </c>
      <c r="E42" s="29" t="n">
        <f aca="false">IF('Clockify Import'!A15="","",'Clockify Import'!F15)</f>
        <v>4</v>
      </c>
    </row>
    <row r="43" customFormat="false" ht="15" hidden="false" customHeight="false" outlineLevel="0" collapsed="false">
      <c r="A43" s="33" t="n">
        <f aca="false">IF('Clockify Import'!A16="","",'Clockify Import'!E16)</f>
        <v>46055</v>
      </c>
      <c r="B43" s="15" t="str">
        <f aca="false">IF('Clockify Import'!A16="","",'Clockify Import'!H16)</f>
        <v>Thees - Azure Migration Advisory &amp; Implement</v>
      </c>
      <c r="C43" s="15" t="str">
        <f aca="false">IF('Clockify Import'!A16="","",'Clockify Import'!B16)</f>
        <v>Thees</v>
      </c>
      <c r="D43" s="15" t="str">
        <f aca="false">IF('Clockify Import'!A16="","",'Clockify Import'!D16)</f>
        <v>Montserrat Graell</v>
      </c>
      <c r="E43" s="29" t="n">
        <f aca="false">IF('Clockify Import'!A16="","",'Clockify Import'!F16)</f>
        <v>4</v>
      </c>
    </row>
    <row r="44" customFormat="false" ht="15" hidden="false" customHeight="false" outlineLevel="0" collapsed="false">
      <c r="A44" s="33" t="str">
        <f aca="false">IF('Clockify Import'!A17="","",'Clockify Import'!E17)</f>
        <v/>
      </c>
      <c r="B44" s="15" t="str">
        <f aca="false">IF('Clockify Import'!A17="","",'Clockify Import'!H17)</f>
        <v/>
      </c>
      <c r="C44" s="15" t="str">
        <f aca="false">IF('Clockify Import'!A17="","",'Clockify Import'!B17)</f>
        <v/>
      </c>
      <c r="D44" s="15" t="str">
        <f aca="false">IF('Clockify Import'!A17="","",'Clockify Import'!D17)</f>
        <v/>
      </c>
      <c r="E44" s="29" t="str">
        <f aca="false">IF('Clockify Import'!A17="","",'Clockify Import'!F17)</f>
        <v/>
      </c>
    </row>
    <row r="45" customFormat="false" ht="15" hidden="false" customHeight="false" outlineLevel="0" collapsed="false">
      <c r="A45" s="33" t="str">
        <f aca="false">IF('Clockify Import'!A18="","",'Clockify Import'!E18)</f>
        <v/>
      </c>
      <c r="B45" s="15" t="str">
        <f aca="false">IF('Clockify Import'!A18="","",'Clockify Import'!H18)</f>
        <v/>
      </c>
      <c r="C45" s="15" t="str">
        <f aca="false">IF('Clockify Import'!A18="","",'Clockify Import'!B18)</f>
        <v/>
      </c>
      <c r="D45" s="15" t="str">
        <f aca="false">IF('Clockify Import'!A18="","",'Clockify Import'!D18)</f>
        <v/>
      </c>
      <c r="E45" s="29" t="str">
        <f aca="false">IF('Clockify Import'!A18="","",'Clockify Import'!F18)</f>
        <v/>
      </c>
    </row>
    <row r="46" customFormat="false" ht="15" hidden="false" customHeight="false" outlineLevel="0" collapsed="false">
      <c r="A46" s="33" t="str">
        <f aca="false">IF('Clockify Import'!A19="","",'Clockify Import'!E19)</f>
        <v/>
      </c>
      <c r="B46" s="15" t="str">
        <f aca="false">IF('Clockify Import'!A19="","",'Clockify Import'!H19)</f>
        <v/>
      </c>
      <c r="C46" s="15" t="str">
        <f aca="false">IF('Clockify Import'!A19="","",'Clockify Import'!B19)</f>
        <v/>
      </c>
      <c r="D46" s="15" t="str">
        <f aca="false">IF('Clockify Import'!A19="","",'Clockify Import'!D19)</f>
        <v/>
      </c>
      <c r="E46" s="29" t="str">
        <f aca="false">IF('Clockify Import'!A19="","",'Clockify Import'!F19)</f>
        <v/>
      </c>
    </row>
    <row r="47" customFormat="false" ht="15" hidden="false" customHeight="false" outlineLevel="0" collapsed="false">
      <c r="A47" s="33" t="str">
        <f aca="false">IF('Clockify Import'!A20="","",'Clockify Import'!E20)</f>
        <v/>
      </c>
      <c r="B47" s="15" t="str">
        <f aca="false">IF('Clockify Import'!A20="","",'Clockify Import'!H20)</f>
        <v/>
      </c>
      <c r="C47" s="15" t="str">
        <f aca="false">IF('Clockify Import'!A20="","",'Clockify Import'!B20)</f>
        <v/>
      </c>
      <c r="D47" s="15" t="str">
        <f aca="false">IF('Clockify Import'!A20="","",'Clockify Import'!D20)</f>
        <v/>
      </c>
      <c r="E47" s="29" t="str">
        <f aca="false">IF('Clockify Import'!A20="","",'Clockify Import'!F20)</f>
        <v/>
      </c>
    </row>
    <row r="48" customFormat="false" ht="15" hidden="false" customHeight="false" outlineLevel="0" collapsed="false">
      <c r="A48" s="33" t="str">
        <f aca="false">IF('Clockify Import'!A21="","",'Clockify Import'!E21)</f>
        <v/>
      </c>
      <c r="B48" s="15" t="str">
        <f aca="false">IF('Clockify Import'!A21="","",'Clockify Import'!H21)</f>
        <v/>
      </c>
      <c r="C48" s="15" t="str">
        <f aca="false">IF('Clockify Import'!A21="","",'Clockify Import'!B21)</f>
        <v/>
      </c>
      <c r="D48" s="15" t="str">
        <f aca="false">IF('Clockify Import'!A21="","",'Clockify Import'!D21)</f>
        <v/>
      </c>
      <c r="E48" s="29" t="str">
        <f aca="false">IF('Clockify Import'!A21="","",'Clockify Import'!F21)</f>
        <v/>
      </c>
    </row>
    <row r="49" customFormat="false" ht="15" hidden="false" customHeight="false" outlineLevel="0" collapsed="false">
      <c r="A49" s="33" t="str">
        <f aca="false">IF('Clockify Import'!A22="","",'Clockify Import'!E22)</f>
        <v/>
      </c>
      <c r="B49" s="15" t="str">
        <f aca="false">IF('Clockify Import'!A22="","",'Clockify Import'!H22)</f>
        <v/>
      </c>
      <c r="C49" s="15" t="str">
        <f aca="false">IF('Clockify Import'!A22="","",'Clockify Import'!B22)</f>
        <v/>
      </c>
      <c r="D49" s="15" t="str">
        <f aca="false">IF('Clockify Import'!A22="","",'Clockify Import'!D22)</f>
        <v/>
      </c>
      <c r="E49" s="29" t="str">
        <f aca="false">IF('Clockify Import'!A22="","",'Clockify Import'!F22)</f>
        <v/>
      </c>
    </row>
    <row r="50" customFormat="false" ht="15" hidden="false" customHeight="false" outlineLevel="0" collapsed="false">
      <c r="A50" s="33" t="str">
        <f aca="false">IF('Clockify Import'!A23="","",'Clockify Import'!E23)</f>
        <v/>
      </c>
      <c r="B50" s="15" t="str">
        <f aca="false">IF('Clockify Import'!A23="","",'Clockify Import'!H23)</f>
        <v/>
      </c>
      <c r="C50" s="15" t="str">
        <f aca="false">IF('Clockify Import'!A23="","",'Clockify Import'!B23)</f>
        <v/>
      </c>
      <c r="D50" s="15" t="str">
        <f aca="false">IF('Clockify Import'!A23="","",'Clockify Import'!D23)</f>
        <v/>
      </c>
      <c r="E50" s="29" t="str">
        <f aca="false">IF('Clockify Import'!A23="","",'Clockify Import'!F23)</f>
        <v/>
      </c>
    </row>
    <row r="51" customFormat="false" ht="15" hidden="false" customHeight="false" outlineLevel="0" collapsed="false">
      <c r="A51" s="33" t="str">
        <f aca="false">IF('Clockify Import'!A24="","",'Clockify Import'!E24)</f>
        <v/>
      </c>
      <c r="B51" s="15" t="str">
        <f aca="false">IF('Clockify Import'!A24="","",'Clockify Import'!H24)</f>
        <v/>
      </c>
      <c r="C51" s="15" t="str">
        <f aca="false">IF('Clockify Import'!A24="","",'Clockify Import'!B24)</f>
        <v/>
      </c>
      <c r="D51" s="15" t="str">
        <f aca="false">IF('Clockify Import'!A24="","",'Clockify Import'!D24)</f>
        <v/>
      </c>
      <c r="E51" s="29" t="str">
        <f aca="false">IF('Clockify Import'!A24="","",'Clockify Import'!F24)</f>
        <v/>
      </c>
    </row>
    <row r="52" customFormat="false" ht="15" hidden="false" customHeight="false" outlineLevel="0" collapsed="false">
      <c r="A52" s="33" t="str">
        <f aca="false">IF('Clockify Import'!A25="","",'Clockify Import'!E25)</f>
        <v/>
      </c>
      <c r="B52" s="15" t="str">
        <f aca="false">IF('Clockify Import'!A25="","",'Clockify Import'!H25)</f>
        <v/>
      </c>
      <c r="C52" s="15" t="str">
        <f aca="false">IF('Clockify Import'!A25="","",'Clockify Import'!B25)</f>
        <v/>
      </c>
      <c r="D52" s="15" t="str">
        <f aca="false">IF('Clockify Import'!A25="","",'Clockify Import'!D25)</f>
        <v/>
      </c>
      <c r="E52" s="29" t="str">
        <f aca="false">IF('Clockify Import'!A25="","",'Clockify Import'!F25)</f>
        <v/>
      </c>
    </row>
    <row r="53" customFormat="false" ht="15" hidden="false" customHeight="false" outlineLevel="0" collapsed="false">
      <c r="A53" s="33" t="str">
        <f aca="false">IF('Clockify Import'!A26="","",'Clockify Import'!E26)</f>
        <v/>
      </c>
      <c r="B53" s="15" t="str">
        <f aca="false">IF('Clockify Import'!A26="","",'Clockify Import'!H26)</f>
        <v/>
      </c>
      <c r="C53" s="15" t="str">
        <f aca="false">IF('Clockify Import'!A26="","",'Clockify Import'!B26)</f>
        <v/>
      </c>
      <c r="D53" s="15" t="str">
        <f aca="false">IF('Clockify Import'!A26="","",'Clockify Import'!D26)</f>
        <v/>
      </c>
      <c r="E53" s="29" t="str">
        <f aca="false">IF('Clockify Import'!A26="","",'Clockify Import'!F26)</f>
        <v/>
      </c>
    </row>
    <row r="54" customFormat="false" ht="15" hidden="false" customHeight="false" outlineLevel="0" collapsed="false">
      <c r="A54" s="33" t="str">
        <f aca="false">IF('Clockify Import'!A27="","",'Clockify Import'!E27)</f>
        <v/>
      </c>
      <c r="B54" s="15" t="str">
        <f aca="false">IF('Clockify Import'!A27="","",'Clockify Import'!H27)</f>
        <v/>
      </c>
      <c r="C54" s="15" t="str">
        <f aca="false">IF('Clockify Import'!A27="","",'Clockify Import'!B27)</f>
        <v/>
      </c>
      <c r="D54" s="15" t="str">
        <f aca="false">IF('Clockify Import'!A27="","",'Clockify Import'!D27)</f>
        <v/>
      </c>
      <c r="E54" s="29" t="str">
        <f aca="false">IF('Clockify Import'!A27="","",'Clockify Import'!F27)</f>
        <v/>
      </c>
    </row>
    <row r="55" customFormat="false" ht="15" hidden="false" customHeight="false" outlineLevel="0" collapsed="false">
      <c r="A55" s="33" t="str">
        <f aca="false">IF('Clockify Import'!A28="","",'Clockify Import'!E28)</f>
        <v/>
      </c>
      <c r="B55" s="15" t="str">
        <f aca="false">IF('Clockify Import'!A28="","",'Clockify Import'!H28)</f>
        <v/>
      </c>
      <c r="C55" s="15" t="str">
        <f aca="false">IF('Clockify Import'!A28="","",'Clockify Import'!B28)</f>
        <v/>
      </c>
      <c r="D55" s="15" t="str">
        <f aca="false">IF('Clockify Import'!A28="","",'Clockify Import'!D28)</f>
        <v/>
      </c>
      <c r="E55" s="29" t="str">
        <f aca="false">IF('Clockify Import'!A28="","",'Clockify Import'!F28)</f>
        <v/>
      </c>
    </row>
    <row r="56" customFormat="false" ht="15" hidden="false" customHeight="false" outlineLevel="0" collapsed="false">
      <c r="A56" s="33" t="str">
        <f aca="false">IF('Clockify Import'!A29="","",'Clockify Import'!E29)</f>
        <v/>
      </c>
      <c r="B56" s="15" t="str">
        <f aca="false">IF('Clockify Import'!A29="","",'Clockify Import'!H29)</f>
        <v/>
      </c>
      <c r="C56" s="15" t="str">
        <f aca="false">IF('Clockify Import'!A29="","",'Clockify Import'!B29)</f>
        <v/>
      </c>
      <c r="D56" s="15" t="str">
        <f aca="false">IF('Clockify Import'!A29="","",'Clockify Import'!D29)</f>
        <v/>
      </c>
      <c r="E56" s="29" t="str">
        <f aca="false">IF('Clockify Import'!A29="","",'Clockify Import'!F29)</f>
        <v/>
      </c>
    </row>
    <row r="57" customFormat="false" ht="15" hidden="false" customHeight="false" outlineLevel="0" collapsed="false">
      <c r="A57" s="33" t="str">
        <f aca="false">IF('Clockify Import'!A30="","",'Clockify Import'!E30)</f>
        <v/>
      </c>
      <c r="B57" s="15" t="str">
        <f aca="false">IF('Clockify Import'!A30="","",'Clockify Import'!H30)</f>
        <v/>
      </c>
      <c r="C57" s="15" t="str">
        <f aca="false">IF('Clockify Import'!A30="","",'Clockify Import'!B30)</f>
        <v/>
      </c>
      <c r="D57" s="15" t="str">
        <f aca="false">IF('Clockify Import'!A30="","",'Clockify Import'!D30)</f>
        <v/>
      </c>
      <c r="E57" s="29" t="str">
        <f aca="false">IF('Clockify Import'!A30="","",'Clockify Import'!F30)</f>
        <v/>
      </c>
    </row>
    <row r="58" customFormat="false" ht="15" hidden="false" customHeight="false" outlineLevel="0" collapsed="false">
      <c r="A58" s="33" t="str">
        <f aca="false">IF('Clockify Import'!A31="","",'Clockify Import'!E31)</f>
        <v/>
      </c>
      <c r="B58" s="15" t="str">
        <f aca="false">IF('Clockify Import'!A31="","",'Clockify Import'!H31)</f>
        <v/>
      </c>
      <c r="C58" s="15" t="str">
        <f aca="false">IF('Clockify Import'!A31="","",'Clockify Import'!B31)</f>
        <v/>
      </c>
      <c r="D58" s="15" t="str">
        <f aca="false">IF('Clockify Import'!A31="","",'Clockify Import'!D31)</f>
        <v/>
      </c>
      <c r="E58" s="29" t="str">
        <f aca="false">IF('Clockify Import'!A31="","",'Clockify Import'!F31)</f>
        <v/>
      </c>
    </row>
    <row r="59" customFormat="false" ht="15" hidden="false" customHeight="false" outlineLevel="0" collapsed="false">
      <c r="A59" s="33" t="str">
        <f aca="false">IF('Clockify Import'!A32="","",'Clockify Import'!E32)</f>
        <v/>
      </c>
      <c r="B59" s="15" t="str">
        <f aca="false">IF('Clockify Import'!A32="","",'Clockify Import'!H32)</f>
        <v/>
      </c>
      <c r="C59" s="15" t="str">
        <f aca="false">IF('Clockify Import'!A32="","",'Clockify Import'!B32)</f>
        <v/>
      </c>
      <c r="D59" s="15" t="str">
        <f aca="false">IF('Clockify Import'!A32="","",'Clockify Import'!D32)</f>
        <v/>
      </c>
      <c r="E59" s="29" t="str">
        <f aca="false">IF('Clockify Import'!A32="","",'Clockify Import'!F32)</f>
        <v/>
      </c>
    </row>
    <row r="60" customFormat="false" ht="15" hidden="false" customHeight="false" outlineLevel="0" collapsed="false">
      <c r="A60" s="33" t="str">
        <f aca="false">IF('Clockify Import'!A33="","",'Clockify Import'!E33)</f>
        <v/>
      </c>
      <c r="B60" s="15" t="str">
        <f aca="false">IF('Clockify Import'!A33="","",'Clockify Import'!H33)</f>
        <v/>
      </c>
      <c r="C60" s="15" t="str">
        <f aca="false">IF('Clockify Import'!A33="","",'Clockify Import'!B33)</f>
        <v/>
      </c>
      <c r="D60" s="15" t="str">
        <f aca="false">IF('Clockify Import'!A33="","",'Clockify Import'!D33)</f>
        <v/>
      </c>
      <c r="E60" s="29" t="str">
        <f aca="false">IF('Clockify Import'!A33="","",'Clockify Import'!F33)</f>
        <v/>
      </c>
    </row>
    <row r="61" customFormat="false" ht="15" hidden="false" customHeight="false" outlineLevel="0" collapsed="false">
      <c r="A61" s="33" t="str">
        <f aca="false">IF('Clockify Import'!A34="","",'Clockify Import'!E34)</f>
        <v/>
      </c>
      <c r="B61" s="15" t="str">
        <f aca="false">IF('Clockify Import'!A34="","",'Clockify Import'!H34)</f>
        <v/>
      </c>
      <c r="C61" s="15" t="str">
        <f aca="false">IF('Clockify Import'!A34="","",'Clockify Import'!B34)</f>
        <v/>
      </c>
      <c r="D61" s="15" t="str">
        <f aca="false">IF('Clockify Import'!A34="","",'Clockify Import'!D34)</f>
        <v/>
      </c>
      <c r="E61" s="29" t="str">
        <f aca="false">IF('Clockify Import'!A34="","",'Clockify Import'!F34)</f>
        <v/>
      </c>
    </row>
    <row r="62" customFormat="false" ht="15" hidden="false" customHeight="false" outlineLevel="0" collapsed="false">
      <c r="A62" s="33" t="str">
        <f aca="false">IF('Clockify Import'!A35="","",'Clockify Import'!E35)</f>
        <v/>
      </c>
      <c r="B62" s="15" t="str">
        <f aca="false">IF('Clockify Import'!A35="","",'Clockify Import'!H35)</f>
        <v/>
      </c>
      <c r="C62" s="15" t="str">
        <f aca="false">IF('Clockify Import'!A35="","",'Clockify Import'!B35)</f>
        <v/>
      </c>
      <c r="D62" s="15" t="str">
        <f aca="false">IF('Clockify Import'!A35="","",'Clockify Import'!D35)</f>
        <v/>
      </c>
      <c r="E62" s="29" t="str">
        <f aca="false">IF('Clockify Import'!A35="","",'Clockify Import'!F35)</f>
        <v/>
      </c>
    </row>
    <row r="63" customFormat="false" ht="15" hidden="false" customHeight="false" outlineLevel="0" collapsed="false">
      <c r="A63" s="33" t="str">
        <f aca="false">IF('Clockify Import'!A36="","",'Clockify Import'!E36)</f>
        <v/>
      </c>
      <c r="B63" s="15" t="str">
        <f aca="false">IF('Clockify Import'!A36="","",'Clockify Import'!H36)</f>
        <v/>
      </c>
      <c r="C63" s="15" t="str">
        <f aca="false">IF('Clockify Import'!A36="","",'Clockify Import'!B36)</f>
        <v/>
      </c>
      <c r="D63" s="15" t="str">
        <f aca="false">IF('Clockify Import'!A36="","",'Clockify Import'!D36)</f>
        <v/>
      </c>
      <c r="E63" s="29" t="str">
        <f aca="false">IF('Clockify Import'!A36="","",'Clockify Import'!F36)</f>
        <v/>
      </c>
    </row>
    <row r="64" customFormat="false" ht="15" hidden="false" customHeight="false" outlineLevel="0" collapsed="false">
      <c r="A64" s="33" t="str">
        <f aca="false">IF('Clockify Import'!A37="","",'Clockify Import'!E37)</f>
        <v/>
      </c>
      <c r="B64" s="15" t="str">
        <f aca="false">IF('Clockify Import'!A37="","",'Clockify Import'!H37)</f>
        <v/>
      </c>
      <c r="C64" s="15" t="str">
        <f aca="false">IF('Clockify Import'!A37="","",'Clockify Import'!B37)</f>
        <v/>
      </c>
      <c r="D64" s="15" t="str">
        <f aca="false">IF('Clockify Import'!A37="","",'Clockify Import'!D37)</f>
        <v/>
      </c>
      <c r="E64" s="29" t="str">
        <f aca="false">IF('Clockify Import'!A37="","",'Clockify Import'!F37)</f>
        <v/>
      </c>
    </row>
    <row r="65" customFormat="false" ht="15" hidden="false" customHeight="false" outlineLevel="0" collapsed="false">
      <c r="A65" s="33" t="str">
        <f aca="false">IF('Clockify Import'!A38="","",'Clockify Import'!E38)</f>
        <v/>
      </c>
      <c r="B65" s="15" t="str">
        <f aca="false">IF('Clockify Import'!A38="","",'Clockify Import'!H38)</f>
        <v/>
      </c>
      <c r="C65" s="15" t="str">
        <f aca="false">IF('Clockify Import'!A38="","",'Clockify Import'!B38)</f>
        <v/>
      </c>
      <c r="D65" s="15" t="str">
        <f aca="false">IF('Clockify Import'!A38="","",'Clockify Import'!D38)</f>
        <v/>
      </c>
      <c r="E65" s="29" t="str">
        <f aca="false">IF('Clockify Import'!A38="","",'Clockify Import'!F38)</f>
        <v/>
      </c>
    </row>
    <row r="66" customFormat="false" ht="15" hidden="false" customHeight="false" outlineLevel="0" collapsed="false">
      <c r="A66" s="33" t="str">
        <f aca="false">IF('Clockify Import'!A39="","",'Clockify Import'!E39)</f>
        <v/>
      </c>
      <c r="B66" s="15" t="str">
        <f aca="false">IF('Clockify Import'!A39="","",'Clockify Import'!H39)</f>
        <v/>
      </c>
      <c r="C66" s="15" t="str">
        <f aca="false">IF('Clockify Import'!A39="","",'Clockify Import'!B39)</f>
        <v/>
      </c>
      <c r="D66" s="15" t="str">
        <f aca="false">IF('Clockify Import'!A39="","",'Clockify Import'!D39)</f>
        <v/>
      </c>
      <c r="E66" s="29" t="str">
        <f aca="false">IF('Clockify Import'!A39="","",'Clockify Import'!F39)</f>
        <v/>
      </c>
    </row>
    <row r="67" customFormat="false" ht="15" hidden="false" customHeight="false" outlineLevel="0" collapsed="false">
      <c r="A67" s="33" t="str">
        <f aca="false">IF('Clockify Import'!A40="","",'Clockify Import'!E40)</f>
        <v/>
      </c>
      <c r="B67" s="15" t="str">
        <f aca="false">IF('Clockify Import'!A40="","",'Clockify Import'!H40)</f>
        <v/>
      </c>
      <c r="C67" s="15" t="str">
        <f aca="false">IF('Clockify Import'!A40="","",'Clockify Import'!B40)</f>
        <v/>
      </c>
      <c r="D67" s="15" t="str">
        <f aca="false">IF('Clockify Import'!A40="","",'Clockify Import'!D40)</f>
        <v/>
      </c>
      <c r="E67" s="29" t="str">
        <f aca="false">IF('Clockify Import'!A40="","",'Clockify Import'!F40)</f>
        <v/>
      </c>
    </row>
    <row r="68" customFormat="false" ht="15" hidden="false" customHeight="false" outlineLevel="0" collapsed="false">
      <c r="A68" s="33" t="str">
        <f aca="false">IF('Clockify Import'!A41="","",'Clockify Import'!E41)</f>
        <v/>
      </c>
      <c r="B68" s="15" t="str">
        <f aca="false">IF('Clockify Import'!A41="","",'Clockify Import'!H41)</f>
        <v/>
      </c>
      <c r="C68" s="15" t="str">
        <f aca="false">IF('Clockify Import'!A41="","",'Clockify Import'!B41)</f>
        <v/>
      </c>
      <c r="D68" s="15" t="str">
        <f aca="false">IF('Clockify Import'!A41="","",'Clockify Import'!D41)</f>
        <v/>
      </c>
      <c r="E68" s="29" t="str">
        <f aca="false">IF('Clockify Import'!A41="","",'Clockify Import'!F41)</f>
        <v/>
      </c>
    </row>
    <row r="69" customFormat="false" ht="15" hidden="false" customHeight="false" outlineLevel="0" collapsed="false">
      <c r="A69" s="33" t="str">
        <f aca="false">IF('Clockify Import'!A42="","",'Clockify Import'!E42)</f>
        <v/>
      </c>
      <c r="B69" s="15" t="str">
        <f aca="false">IF('Clockify Import'!A42="","",'Clockify Import'!H42)</f>
        <v/>
      </c>
      <c r="C69" s="15" t="str">
        <f aca="false">IF('Clockify Import'!A42="","",'Clockify Import'!B42)</f>
        <v/>
      </c>
      <c r="D69" s="15" t="str">
        <f aca="false">IF('Clockify Import'!A42="","",'Clockify Import'!D42)</f>
        <v/>
      </c>
      <c r="E69" s="29" t="str">
        <f aca="false">IF('Clockify Import'!A42="","",'Clockify Import'!F42)</f>
        <v/>
      </c>
    </row>
    <row r="70" customFormat="false" ht="15" hidden="false" customHeight="false" outlineLevel="0" collapsed="false">
      <c r="A70" s="33" t="str">
        <f aca="false">IF('Clockify Import'!A43="","",'Clockify Import'!E43)</f>
        <v/>
      </c>
      <c r="B70" s="15" t="str">
        <f aca="false">IF('Clockify Import'!A43="","",'Clockify Import'!H43)</f>
        <v/>
      </c>
      <c r="C70" s="15" t="str">
        <f aca="false">IF('Clockify Import'!A43="","",'Clockify Import'!B43)</f>
        <v/>
      </c>
      <c r="D70" s="15" t="str">
        <f aca="false">IF('Clockify Import'!A43="","",'Clockify Import'!D43)</f>
        <v/>
      </c>
      <c r="E70" s="29" t="str">
        <f aca="false">IF('Clockify Import'!A43="","",'Clockify Import'!F43)</f>
        <v/>
      </c>
    </row>
    <row r="71" customFormat="false" ht="15" hidden="false" customHeight="false" outlineLevel="0" collapsed="false">
      <c r="A71" s="33" t="str">
        <f aca="false">IF('Clockify Import'!A44="","",'Clockify Import'!E44)</f>
        <v/>
      </c>
      <c r="B71" s="15" t="str">
        <f aca="false">IF('Clockify Import'!A44="","",'Clockify Import'!H44)</f>
        <v/>
      </c>
      <c r="C71" s="15" t="str">
        <f aca="false">IF('Clockify Import'!A44="","",'Clockify Import'!B44)</f>
        <v/>
      </c>
      <c r="D71" s="15" t="str">
        <f aca="false">IF('Clockify Import'!A44="","",'Clockify Import'!D44)</f>
        <v/>
      </c>
      <c r="E71" s="29" t="str">
        <f aca="false">IF('Clockify Import'!A44="","",'Clockify Import'!F44)</f>
        <v/>
      </c>
    </row>
    <row r="72" customFormat="false" ht="15" hidden="false" customHeight="false" outlineLevel="0" collapsed="false">
      <c r="A72" s="33" t="str">
        <f aca="false">IF('Clockify Import'!A45="","",'Clockify Import'!E45)</f>
        <v/>
      </c>
      <c r="B72" s="15" t="str">
        <f aca="false">IF('Clockify Import'!A45="","",'Clockify Import'!H45)</f>
        <v/>
      </c>
      <c r="C72" s="15" t="str">
        <f aca="false">IF('Clockify Import'!A45="","",'Clockify Import'!B45)</f>
        <v/>
      </c>
      <c r="D72" s="15" t="str">
        <f aca="false">IF('Clockify Import'!A45="","",'Clockify Import'!D45)</f>
        <v/>
      </c>
      <c r="E72" s="29" t="str">
        <f aca="false">IF('Clockify Import'!A45="","",'Clockify Import'!F45)</f>
        <v/>
      </c>
    </row>
    <row r="73" customFormat="false" ht="15" hidden="false" customHeight="false" outlineLevel="0" collapsed="false">
      <c r="A73" s="33" t="str">
        <f aca="false">IF('Clockify Import'!A46="","",'Clockify Import'!E46)</f>
        <v/>
      </c>
      <c r="B73" s="15" t="str">
        <f aca="false">IF('Clockify Import'!A46="","",'Clockify Import'!H46)</f>
        <v/>
      </c>
      <c r="C73" s="15" t="str">
        <f aca="false">IF('Clockify Import'!A46="","",'Clockify Import'!B46)</f>
        <v/>
      </c>
      <c r="D73" s="15" t="str">
        <f aca="false">IF('Clockify Import'!A46="","",'Clockify Import'!D46)</f>
        <v/>
      </c>
      <c r="E73" s="29" t="str">
        <f aca="false">IF('Clockify Import'!A46="","",'Clockify Import'!F46)</f>
        <v/>
      </c>
    </row>
    <row r="74" customFormat="false" ht="15" hidden="false" customHeight="false" outlineLevel="0" collapsed="false">
      <c r="A74" s="33" t="str">
        <f aca="false">IF('Clockify Import'!A47="","",'Clockify Import'!E47)</f>
        <v/>
      </c>
      <c r="B74" s="15" t="str">
        <f aca="false">IF('Clockify Import'!A47="","",'Clockify Import'!H47)</f>
        <v/>
      </c>
      <c r="C74" s="15" t="str">
        <f aca="false">IF('Clockify Import'!A47="","",'Clockify Import'!B47)</f>
        <v/>
      </c>
      <c r="D74" s="15" t="str">
        <f aca="false">IF('Clockify Import'!A47="","",'Clockify Import'!D47)</f>
        <v/>
      </c>
      <c r="E74" s="29" t="str">
        <f aca="false">IF('Clockify Import'!A47="","",'Clockify Import'!F47)</f>
        <v/>
      </c>
    </row>
    <row r="75" customFormat="false" ht="15" hidden="false" customHeight="false" outlineLevel="0" collapsed="false">
      <c r="A75" s="33" t="str">
        <f aca="false">IF('Clockify Import'!A48="","",'Clockify Import'!E48)</f>
        <v/>
      </c>
      <c r="B75" s="15" t="str">
        <f aca="false">IF('Clockify Import'!A48="","",'Clockify Import'!H48)</f>
        <v/>
      </c>
      <c r="C75" s="15" t="str">
        <f aca="false">IF('Clockify Import'!A48="","",'Clockify Import'!B48)</f>
        <v/>
      </c>
      <c r="D75" s="15" t="str">
        <f aca="false">IF('Clockify Import'!A48="","",'Clockify Import'!D48)</f>
        <v/>
      </c>
      <c r="E75" s="29" t="str">
        <f aca="false">IF('Clockify Import'!A48="","",'Clockify Import'!F48)</f>
        <v/>
      </c>
    </row>
    <row r="76" customFormat="false" ht="15" hidden="false" customHeight="false" outlineLevel="0" collapsed="false">
      <c r="A76" s="33" t="str">
        <f aca="false">IF('Clockify Import'!A49="","",'Clockify Import'!E49)</f>
        <v/>
      </c>
      <c r="B76" s="15" t="str">
        <f aca="false">IF('Clockify Import'!A49="","",'Clockify Import'!H49)</f>
        <v/>
      </c>
      <c r="C76" s="15" t="str">
        <f aca="false">IF('Clockify Import'!A49="","",'Clockify Import'!B49)</f>
        <v/>
      </c>
      <c r="D76" s="15" t="str">
        <f aca="false">IF('Clockify Import'!A49="","",'Clockify Import'!D49)</f>
        <v/>
      </c>
      <c r="E76" s="29" t="str">
        <f aca="false">IF('Clockify Import'!A49="","",'Clockify Import'!F49)</f>
        <v/>
      </c>
    </row>
    <row r="77" customFormat="false" ht="15" hidden="false" customHeight="false" outlineLevel="0" collapsed="false">
      <c r="A77" s="33" t="str">
        <f aca="false">IF('Clockify Import'!A50="","",'Clockify Import'!E50)</f>
        <v/>
      </c>
      <c r="B77" s="15" t="str">
        <f aca="false">IF('Clockify Import'!A50="","",'Clockify Import'!H50)</f>
        <v/>
      </c>
      <c r="C77" s="15" t="str">
        <f aca="false">IF('Clockify Import'!A50="","",'Clockify Import'!B50)</f>
        <v/>
      </c>
      <c r="D77" s="15" t="str">
        <f aca="false">IF('Clockify Import'!A50="","",'Clockify Import'!D50)</f>
        <v/>
      </c>
      <c r="E77" s="29" t="str">
        <f aca="false">IF('Clockify Import'!A50="","",'Clockify Import'!F50)</f>
        <v/>
      </c>
    </row>
    <row r="78" customFormat="false" ht="15" hidden="false" customHeight="false" outlineLevel="0" collapsed="false">
      <c r="A78" s="33" t="str">
        <f aca="false">IF('Clockify Import'!A51="","",'Clockify Import'!E51)</f>
        <v/>
      </c>
      <c r="B78" s="15" t="str">
        <f aca="false">IF('Clockify Import'!A51="","",'Clockify Import'!H51)</f>
        <v/>
      </c>
      <c r="C78" s="15" t="str">
        <f aca="false">IF('Clockify Import'!A51="","",'Clockify Import'!B51)</f>
        <v/>
      </c>
      <c r="D78" s="15" t="str">
        <f aca="false">IF('Clockify Import'!A51="","",'Clockify Import'!D51)</f>
        <v/>
      </c>
      <c r="E78" s="29" t="str">
        <f aca="false">IF('Clockify Import'!A51="","",'Clockify Import'!F51)</f>
        <v/>
      </c>
    </row>
    <row r="79" customFormat="false" ht="15" hidden="false" customHeight="false" outlineLevel="0" collapsed="false">
      <c r="A79" s="33" t="str">
        <f aca="false">IF('Clockify Import'!A52="","",'Clockify Import'!E52)</f>
        <v/>
      </c>
      <c r="B79" s="15" t="str">
        <f aca="false">IF('Clockify Import'!A52="","",'Clockify Import'!H52)</f>
        <v/>
      </c>
      <c r="C79" s="15" t="str">
        <f aca="false">IF('Clockify Import'!A52="","",'Clockify Import'!B52)</f>
        <v/>
      </c>
      <c r="D79" s="15" t="str">
        <f aca="false">IF('Clockify Import'!A52="","",'Clockify Import'!D52)</f>
        <v/>
      </c>
      <c r="E79" s="29" t="str">
        <f aca="false">IF('Clockify Import'!A52="","",'Clockify Import'!F52)</f>
        <v/>
      </c>
    </row>
    <row r="80" customFormat="false" ht="15" hidden="false" customHeight="false" outlineLevel="0" collapsed="false">
      <c r="A80" s="33" t="str">
        <f aca="false">IF('Clockify Import'!A53="","",'Clockify Import'!E53)</f>
        <v/>
      </c>
      <c r="B80" s="15" t="str">
        <f aca="false">IF('Clockify Import'!A53="","",'Clockify Import'!H53)</f>
        <v/>
      </c>
      <c r="C80" s="15" t="str">
        <f aca="false">IF('Clockify Import'!A53="","",'Clockify Import'!B53)</f>
        <v/>
      </c>
      <c r="D80" s="15" t="str">
        <f aca="false">IF('Clockify Import'!A53="","",'Clockify Import'!D53)</f>
        <v/>
      </c>
      <c r="E80" s="29" t="str">
        <f aca="false">IF('Clockify Import'!A53="","",'Clockify Import'!F53)</f>
        <v/>
      </c>
    </row>
    <row r="81" customFormat="false" ht="15" hidden="false" customHeight="false" outlineLevel="0" collapsed="false">
      <c r="A81" s="33" t="str">
        <f aca="false">IF('Clockify Import'!A54="","",'Clockify Import'!E54)</f>
        <v/>
      </c>
      <c r="B81" s="15" t="str">
        <f aca="false">IF('Clockify Import'!A54="","",'Clockify Import'!H54)</f>
        <v/>
      </c>
      <c r="C81" s="15" t="str">
        <f aca="false">IF('Clockify Import'!A54="","",'Clockify Import'!B54)</f>
        <v/>
      </c>
      <c r="D81" s="15" t="str">
        <f aca="false">IF('Clockify Import'!A54="","",'Clockify Import'!D54)</f>
        <v/>
      </c>
      <c r="E81" s="29" t="str">
        <f aca="false">IF('Clockify Import'!A54="","",'Clockify Import'!F54)</f>
        <v/>
      </c>
    </row>
    <row r="82" customFormat="false" ht="15" hidden="false" customHeight="false" outlineLevel="0" collapsed="false">
      <c r="A82" s="33" t="str">
        <f aca="false">IF('Clockify Import'!A55="","",'Clockify Import'!E55)</f>
        <v/>
      </c>
      <c r="B82" s="15" t="str">
        <f aca="false">IF('Clockify Import'!A55="","",'Clockify Import'!H55)</f>
        <v/>
      </c>
      <c r="C82" s="15" t="str">
        <f aca="false">IF('Clockify Import'!A55="","",'Clockify Import'!B55)</f>
        <v/>
      </c>
      <c r="D82" s="15" t="str">
        <f aca="false">IF('Clockify Import'!A55="","",'Clockify Import'!D55)</f>
        <v/>
      </c>
      <c r="E82" s="29" t="str">
        <f aca="false">IF('Clockify Import'!A55="","",'Clockify Import'!F55)</f>
        <v/>
      </c>
    </row>
    <row r="83" customFormat="false" ht="15" hidden="false" customHeight="false" outlineLevel="0" collapsed="false">
      <c r="A83" s="33" t="str">
        <f aca="false">IF('Clockify Import'!A56="","",'Clockify Import'!E56)</f>
        <v/>
      </c>
      <c r="B83" s="15" t="str">
        <f aca="false">IF('Clockify Import'!A56="","",'Clockify Import'!H56)</f>
        <v/>
      </c>
      <c r="C83" s="15" t="str">
        <f aca="false">IF('Clockify Import'!A56="","",'Clockify Import'!B56)</f>
        <v/>
      </c>
      <c r="D83" s="15" t="str">
        <f aca="false">IF('Clockify Import'!A56="","",'Clockify Import'!D56)</f>
        <v/>
      </c>
      <c r="E83" s="29" t="str">
        <f aca="false">IF('Clockify Import'!A56="","",'Clockify Import'!F56)</f>
        <v/>
      </c>
    </row>
    <row r="84" customFormat="false" ht="15" hidden="false" customHeight="false" outlineLevel="0" collapsed="false">
      <c r="A84" s="33" t="str">
        <f aca="false">IF('Clockify Import'!A57="","",'Clockify Import'!E57)</f>
        <v/>
      </c>
      <c r="B84" s="15" t="str">
        <f aca="false">IF('Clockify Import'!A57="","",'Clockify Import'!H57)</f>
        <v/>
      </c>
      <c r="C84" s="15" t="str">
        <f aca="false">IF('Clockify Import'!A57="","",'Clockify Import'!B57)</f>
        <v/>
      </c>
      <c r="D84" s="15" t="str">
        <f aca="false">IF('Clockify Import'!A57="","",'Clockify Import'!D57)</f>
        <v/>
      </c>
      <c r="E84" s="29" t="str">
        <f aca="false">IF('Clockify Import'!A57="","",'Clockify Import'!F57)</f>
        <v/>
      </c>
    </row>
    <row r="85" customFormat="false" ht="15" hidden="false" customHeight="false" outlineLevel="0" collapsed="false">
      <c r="A85" s="33" t="str">
        <f aca="false">IF('Clockify Import'!A58="","",'Clockify Import'!E58)</f>
        <v/>
      </c>
      <c r="B85" s="15" t="str">
        <f aca="false">IF('Clockify Import'!A58="","",'Clockify Import'!H58)</f>
        <v/>
      </c>
      <c r="C85" s="15" t="str">
        <f aca="false">IF('Clockify Import'!A58="","",'Clockify Import'!B58)</f>
        <v/>
      </c>
      <c r="D85" s="15" t="str">
        <f aca="false">IF('Clockify Import'!A58="","",'Clockify Import'!D58)</f>
        <v/>
      </c>
      <c r="E85" s="29" t="str">
        <f aca="false">IF('Clockify Import'!A58="","",'Clockify Import'!F58)</f>
        <v/>
      </c>
    </row>
    <row r="86" customFormat="false" ht="15" hidden="false" customHeight="false" outlineLevel="0" collapsed="false">
      <c r="A86" s="33" t="str">
        <f aca="false">IF('Clockify Import'!A59="","",'Clockify Import'!E59)</f>
        <v/>
      </c>
      <c r="B86" s="15" t="str">
        <f aca="false">IF('Clockify Import'!A59="","",'Clockify Import'!H59)</f>
        <v/>
      </c>
      <c r="C86" s="15" t="str">
        <f aca="false">IF('Clockify Import'!A59="","",'Clockify Import'!B59)</f>
        <v/>
      </c>
      <c r="D86" s="15" t="str">
        <f aca="false">IF('Clockify Import'!A59="","",'Clockify Import'!D59)</f>
        <v/>
      </c>
      <c r="E86" s="29" t="str">
        <f aca="false">IF('Clockify Import'!A59="","",'Clockify Import'!F59)</f>
        <v/>
      </c>
    </row>
    <row r="87" customFormat="false" ht="15" hidden="false" customHeight="false" outlineLevel="0" collapsed="false">
      <c r="A87" s="33" t="str">
        <f aca="false">IF('Clockify Import'!A60="","",'Clockify Import'!E60)</f>
        <v/>
      </c>
      <c r="B87" s="15" t="str">
        <f aca="false">IF('Clockify Import'!A60="","",'Clockify Import'!H60)</f>
        <v/>
      </c>
      <c r="C87" s="15" t="str">
        <f aca="false">IF('Clockify Import'!A60="","",'Clockify Import'!B60)</f>
        <v/>
      </c>
      <c r="D87" s="15" t="str">
        <f aca="false">IF('Clockify Import'!A60="","",'Clockify Import'!D60)</f>
        <v/>
      </c>
      <c r="E87" s="29" t="str">
        <f aca="false">IF('Clockify Import'!A60="","",'Clockify Import'!F60)</f>
        <v/>
      </c>
    </row>
    <row r="88" customFormat="false" ht="15" hidden="false" customHeight="false" outlineLevel="0" collapsed="false">
      <c r="A88" s="33" t="str">
        <f aca="false">IF('Clockify Import'!A61="","",'Clockify Import'!E61)</f>
        <v/>
      </c>
      <c r="B88" s="15" t="str">
        <f aca="false">IF('Clockify Import'!A61="","",'Clockify Import'!H61)</f>
        <v/>
      </c>
      <c r="C88" s="15" t="str">
        <f aca="false">IF('Clockify Import'!A61="","",'Clockify Import'!B61)</f>
        <v/>
      </c>
      <c r="D88" s="15" t="str">
        <f aca="false">IF('Clockify Import'!A61="","",'Clockify Import'!D61)</f>
        <v/>
      </c>
      <c r="E88" s="29" t="str">
        <f aca="false">IF('Clockify Import'!A61="","",'Clockify Import'!F61)</f>
        <v/>
      </c>
    </row>
    <row r="89" customFormat="false" ht="15" hidden="false" customHeight="false" outlineLevel="0" collapsed="false">
      <c r="A89" s="33" t="str">
        <f aca="false">IF('Clockify Import'!A62="","",'Clockify Import'!E62)</f>
        <v/>
      </c>
      <c r="B89" s="15" t="str">
        <f aca="false">IF('Clockify Import'!A62="","",'Clockify Import'!H62)</f>
        <v/>
      </c>
      <c r="C89" s="15" t="str">
        <f aca="false">IF('Clockify Import'!A62="","",'Clockify Import'!B62)</f>
        <v/>
      </c>
      <c r="D89" s="15" t="str">
        <f aca="false">IF('Clockify Import'!A62="","",'Clockify Import'!D62)</f>
        <v/>
      </c>
      <c r="E89" s="29" t="str">
        <f aca="false">IF('Clockify Import'!A62="","",'Clockify Import'!F62)</f>
        <v/>
      </c>
    </row>
    <row r="90" customFormat="false" ht="15" hidden="false" customHeight="false" outlineLevel="0" collapsed="false">
      <c r="A90" s="33" t="str">
        <f aca="false">IF('Clockify Import'!A63="","",'Clockify Import'!E63)</f>
        <v/>
      </c>
      <c r="B90" s="15" t="str">
        <f aca="false">IF('Clockify Import'!A63="","",'Clockify Import'!H63)</f>
        <v/>
      </c>
      <c r="C90" s="15" t="str">
        <f aca="false">IF('Clockify Import'!A63="","",'Clockify Import'!B63)</f>
        <v/>
      </c>
      <c r="D90" s="15" t="str">
        <f aca="false">IF('Clockify Import'!A63="","",'Clockify Import'!D63)</f>
        <v/>
      </c>
      <c r="E90" s="29" t="str">
        <f aca="false">IF('Clockify Import'!A63="","",'Clockify Import'!F63)</f>
        <v/>
      </c>
    </row>
    <row r="91" customFormat="false" ht="15" hidden="false" customHeight="false" outlineLevel="0" collapsed="false">
      <c r="A91" s="33" t="str">
        <f aca="false">IF('Clockify Import'!A64="","",'Clockify Import'!E64)</f>
        <v/>
      </c>
      <c r="B91" s="15" t="str">
        <f aca="false">IF('Clockify Import'!A64="","",'Clockify Import'!H64)</f>
        <v/>
      </c>
      <c r="C91" s="15" t="str">
        <f aca="false">IF('Clockify Import'!A64="","",'Clockify Import'!B64)</f>
        <v/>
      </c>
      <c r="D91" s="15" t="str">
        <f aca="false">IF('Clockify Import'!A64="","",'Clockify Import'!D64)</f>
        <v/>
      </c>
      <c r="E91" s="29" t="str">
        <f aca="false">IF('Clockify Import'!A64="","",'Clockify Import'!F64)</f>
        <v/>
      </c>
    </row>
    <row r="92" customFormat="false" ht="15" hidden="false" customHeight="false" outlineLevel="0" collapsed="false">
      <c r="A92" s="33" t="str">
        <f aca="false">IF('Clockify Import'!A65="","",'Clockify Import'!E65)</f>
        <v/>
      </c>
      <c r="B92" s="15" t="str">
        <f aca="false">IF('Clockify Import'!A65="","",'Clockify Import'!H65)</f>
        <v/>
      </c>
      <c r="C92" s="15" t="str">
        <f aca="false">IF('Clockify Import'!A65="","",'Clockify Import'!B65)</f>
        <v/>
      </c>
      <c r="D92" s="15" t="str">
        <f aca="false">IF('Clockify Import'!A65="","",'Clockify Import'!D65)</f>
        <v/>
      </c>
      <c r="E92" s="29" t="str">
        <f aca="false">IF('Clockify Import'!A65="","",'Clockify Import'!F65)</f>
        <v/>
      </c>
    </row>
    <row r="93" customFormat="false" ht="15" hidden="false" customHeight="false" outlineLevel="0" collapsed="false">
      <c r="A93" s="33" t="str">
        <f aca="false">IF('Clockify Import'!A66="","",'Clockify Import'!E66)</f>
        <v/>
      </c>
      <c r="B93" s="15" t="str">
        <f aca="false">IF('Clockify Import'!A66="","",'Clockify Import'!H66)</f>
        <v/>
      </c>
      <c r="C93" s="15" t="str">
        <f aca="false">IF('Clockify Import'!A66="","",'Clockify Import'!B66)</f>
        <v/>
      </c>
      <c r="D93" s="15" t="str">
        <f aca="false">IF('Clockify Import'!A66="","",'Clockify Import'!D66)</f>
        <v/>
      </c>
      <c r="E93" s="29" t="str">
        <f aca="false">IF('Clockify Import'!A66="","",'Clockify Import'!F66)</f>
        <v/>
      </c>
    </row>
    <row r="94" customFormat="false" ht="15" hidden="false" customHeight="false" outlineLevel="0" collapsed="false">
      <c r="A94" s="33" t="str">
        <f aca="false">IF('Clockify Import'!A67="","",'Clockify Import'!E67)</f>
        <v/>
      </c>
      <c r="B94" s="15" t="str">
        <f aca="false">IF('Clockify Import'!A67="","",'Clockify Import'!H67)</f>
        <v/>
      </c>
      <c r="C94" s="15" t="str">
        <f aca="false">IF('Clockify Import'!A67="","",'Clockify Import'!B67)</f>
        <v/>
      </c>
      <c r="D94" s="15" t="str">
        <f aca="false">IF('Clockify Import'!A67="","",'Clockify Import'!D67)</f>
        <v/>
      </c>
      <c r="E94" s="29" t="str">
        <f aca="false">IF('Clockify Import'!A67="","",'Clockify Import'!F67)</f>
        <v/>
      </c>
    </row>
    <row r="95" customFormat="false" ht="15" hidden="false" customHeight="false" outlineLevel="0" collapsed="false">
      <c r="A95" s="33" t="str">
        <f aca="false">IF('Clockify Import'!A68="","",'Clockify Import'!E68)</f>
        <v/>
      </c>
      <c r="B95" s="15" t="str">
        <f aca="false">IF('Clockify Import'!A68="","",'Clockify Import'!H68)</f>
        <v/>
      </c>
      <c r="C95" s="15" t="str">
        <f aca="false">IF('Clockify Import'!A68="","",'Clockify Import'!B68)</f>
        <v/>
      </c>
      <c r="D95" s="15" t="str">
        <f aca="false">IF('Clockify Import'!A68="","",'Clockify Import'!D68)</f>
        <v/>
      </c>
      <c r="E95" s="29" t="str">
        <f aca="false">IF('Clockify Import'!A68="","",'Clockify Import'!F68)</f>
        <v/>
      </c>
    </row>
    <row r="96" customFormat="false" ht="15" hidden="false" customHeight="false" outlineLevel="0" collapsed="false">
      <c r="A96" s="33" t="str">
        <f aca="false">IF('Clockify Import'!A69="","",'Clockify Import'!E69)</f>
        <v/>
      </c>
      <c r="B96" s="15" t="str">
        <f aca="false">IF('Clockify Import'!A69="","",'Clockify Import'!H69)</f>
        <v/>
      </c>
      <c r="C96" s="15" t="str">
        <f aca="false">IF('Clockify Import'!A69="","",'Clockify Import'!B69)</f>
        <v/>
      </c>
      <c r="D96" s="15" t="str">
        <f aca="false">IF('Clockify Import'!A69="","",'Clockify Import'!D69)</f>
        <v/>
      </c>
      <c r="E96" s="29" t="str">
        <f aca="false">IF('Clockify Import'!A69="","",'Clockify Import'!F69)</f>
        <v/>
      </c>
    </row>
    <row r="97" customFormat="false" ht="15" hidden="false" customHeight="false" outlineLevel="0" collapsed="false">
      <c r="A97" s="33" t="str">
        <f aca="false">IF('Clockify Import'!A70="","",'Clockify Import'!E70)</f>
        <v/>
      </c>
      <c r="B97" s="15" t="str">
        <f aca="false">IF('Clockify Import'!A70="","",'Clockify Import'!H70)</f>
        <v/>
      </c>
      <c r="C97" s="15" t="str">
        <f aca="false">IF('Clockify Import'!A70="","",'Clockify Import'!B70)</f>
        <v/>
      </c>
      <c r="D97" s="15" t="str">
        <f aca="false">IF('Clockify Import'!A70="","",'Clockify Import'!D70)</f>
        <v/>
      </c>
      <c r="E97" s="29" t="str">
        <f aca="false">IF('Clockify Import'!A70="","",'Clockify Import'!F70)</f>
        <v/>
      </c>
    </row>
    <row r="98" customFormat="false" ht="15" hidden="false" customHeight="false" outlineLevel="0" collapsed="false">
      <c r="A98" s="33" t="str">
        <f aca="false">IF('Clockify Import'!A71="","",'Clockify Import'!E71)</f>
        <v/>
      </c>
      <c r="B98" s="15" t="str">
        <f aca="false">IF('Clockify Import'!A71="","",'Clockify Import'!H71)</f>
        <v/>
      </c>
      <c r="C98" s="15" t="str">
        <f aca="false">IF('Clockify Import'!A71="","",'Clockify Import'!B71)</f>
        <v/>
      </c>
      <c r="D98" s="15" t="str">
        <f aca="false">IF('Clockify Import'!A71="","",'Clockify Import'!D71)</f>
        <v/>
      </c>
      <c r="E98" s="29" t="str">
        <f aca="false">IF('Clockify Import'!A71="","",'Clockify Import'!F71)</f>
        <v/>
      </c>
    </row>
    <row r="99" customFormat="false" ht="15" hidden="false" customHeight="false" outlineLevel="0" collapsed="false">
      <c r="A99" s="33" t="str">
        <f aca="false">IF('Clockify Import'!A72="","",'Clockify Import'!E72)</f>
        <v/>
      </c>
      <c r="B99" s="15" t="str">
        <f aca="false">IF('Clockify Import'!A72="","",'Clockify Import'!H72)</f>
        <v/>
      </c>
      <c r="C99" s="15" t="str">
        <f aca="false">IF('Clockify Import'!A72="","",'Clockify Import'!B72)</f>
        <v/>
      </c>
      <c r="D99" s="15" t="str">
        <f aca="false">IF('Clockify Import'!A72="","",'Clockify Import'!D72)</f>
        <v/>
      </c>
      <c r="E99" s="29" t="str">
        <f aca="false">IF('Clockify Import'!A72="","",'Clockify Import'!F72)</f>
        <v/>
      </c>
    </row>
    <row r="100" customFormat="false" ht="15" hidden="false" customHeight="false" outlineLevel="0" collapsed="false">
      <c r="A100" s="33" t="str">
        <f aca="false">IF('Clockify Import'!A73="","",'Clockify Import'!E73)</f>
        <v/>
      </c>
      <c r="B100" s="15" t="str">
        <f aca="false">IF('Clockify Import'!A73="","",'Clockify Import'!H73)</f>
        <v/>
      </c>
      <c r="C100" s="15" t="str">
        <f aca="false">IF('Clockify Import'!A73="","",'Clockify Import'!B73)</f>
        <v/>
      </c>
      <c r="D100" s="15" t="str">
        <f aca="false">IF('Clockify Import'!A73="","",'Clockify Import'!D73)</f>
        <v/>
      </c>
      <c r="E100" s="29" t="str">
        <f aca="false">IF('Clockify Import'!A73="","",'Clockify Import'!F73)</f>
        <v/>
      </c>
    </row>
    <row r="101" customFormat="false" ht="15" hidden="false" customHeight="false" outlineLevel="0" collapsed="false">
      <c r="A101" s="33" t="str">
        <f aca="false">IF('Clockify Import'!A74="","",'Clockify Import'!E74)</f>
        <v/>
      </c>
      <c r="B101" s="15" t="str">
        <f aca="false">IF('Clockify Import'!A74="","",'Clockify Import'!H74)</f>
        <v/>
      </c>
      <c r="C101" s="15" t="str">
        <f aca="false">IF('Clockify Import'!A74="","",'Clockify Import'!B74)</f>
        <v/>
      </c>
      <c r="D101" s="15" t="str">
        <f aca="false">IF('Clockify Import'!A74="","",'Clockify Import'!D74)</f>
        <v/>
      </c>
      <c r="E101" s="29" t="str">
        <f aca="false">IF('Clockify Import'!A74="","",'Clockify Import'!F74)</f>
        <v/>
      </c>
    </row>
    <row r="102" customFormat="false" ht="15" hidden="false" customHeight="false" outlineLevel="0" collapsed="false">
      <c r="A102" s="33" t="str">
        <f aca="false">IF('Clockify Import'!A75="","",'Clockify Import'!E75)</f>
        <v/>
      </c>
      <c r="B102" s="15" t="str">
        <f aca="false">IF('Clockify Import'!A75="","",'Clockify Import'!H75)</f>
        <v/>
      </c>
      <c r="C102" s="15" t="str">
        <f aca="false">IF('Clockify Import'!A75="","",'Clockify Import'!B75)</f>
        <v/>
      </c>
      <c r="D102" s="15" t="str">
        <f aca="false">IF('Clockify Import'!A75="","",'Clockify Import'!D75)</f>
        <v/>
      </c>
      <c r="E102" s="29" t="str">
        <f aca="false">IF('Clockify Import'!A75="","",'Clockify Import'!F75)</f>
        <v/>
      </c>
    </row>
    <row r="103" customFormat="false" ht="15" hidden="false" customHeight="false" outlineLevel="0" collapsed="false">
      <c r="A103" s="33" t="str">
        <f aca="false">IF('Clockify Import'!A76="","",'Clockify Import'!E76)</f>
        <v/>
      </c>
      <c r="B103" s="15" t="str">
        <f aca="false">IF('Clockify Import'!A76="","",'Clockify Import'!H76)</f>
        <v/>
      </c>
      <c r="C103" s="15" t="str">
        <f aca="false">IF('Clockify Import'!A76="","",'Clockify Import'!B76)</f>
        <v/>
      </c>
      <c r="D103" s="15" t="str">
        <f aca="false">IF('Clockify Import'!A76="","",'Clockify Import'!D76)</f>
        <v/>
      </c>
      <c r="E103" s="29" t="str">
        <f aca="false">IF('Clockify Import'!A76="","",'Clockify Import'!F76)</f>
        <v/>
      </c>
    </row>
    <row r="104" customFormat="false" ht="15" hidden="false" customHeight="false" outlineLevel="0" collapsed="false">
      <c r="A104" s="33" t="str">
        <f aca="false">IF('Clockify Import'!A77="","",'Clockify Import'!E77)</f>
        <v/>
      </c>
      <c r="B104" s="15" t="str">
        <f aca="false">IF('Clockify Import'!A77="","",'Clockify Import'!H77)</f>
        <v/>
      </c>
      <c r="C104" s="15" t="str">
        <f aca="false">IF('Clockify Import'!A77="","",'Clockify Import'!B77)</f>
        <v/>
      </c>
      <c r="D104" s="15" t="str">
        <f aca="false">IF('Clockify Import'!A77="","",'Clockify Import'!D77)</f>
        <v/>
      </c>
      <c r="E104" s="29" t="str">
        <f aca="false">IF('Clockify Import'!A77="","",'Clockify Import'!F77)</f>
        <v/>
      </c>
    </row>
    <row r="105" customFormat="false" ht="15" hidden="false" customHeight="false" outlineLevel="0" collapsed="false">
      <c r="A105" s="33" t="str">
        <f aca="false">IF('Clockify Import'!A78="","",'Clockify Import'!E78)</f>
        <v/>
      </c>
      <c r="B105" s="15" t="str">
        <f aca="false">IF('Clockify Import'!A78="","",'Clockify Import'!H78)</f>
        <v/>
      </c>
      <c r="C105" s="15" t="str">
        <f aca="false">IF('Clockify Import'!A78="","",'Clockify Import'!B78)</f>
        <v/>
      </c>
      <c r="D105" s="15" t="str">
        <f aca="false">IF('Clockify Import'!A78="","",'Clockify Import'!D78)</f>
        <v/>
      </c>
      <c r="E105" s="29" t="str">
        <f aca="false">IF('Clockify Import'!A78="","",'Clockify Import'!F78)</f>
        <v/>
      </c>
    </row>
    <row r="106" customFormat="false" ht="15" hidden="false" customHeight="false" outlineLevel="0" collapsed="false">
      <c r="A106" s="33" t="str">
        <f aca="false">IF('Clockify Import'!A79="","",'Clockify Import'!E79)</f>
        <v/>
      </c>
      <c r="B106" s="15" t="str">
        <f aca="false">IF('Clockify Import'!A79="","",'Clockify Import'!H79)</f>
        <v/>
      </c>
      <c r="C106" s="15" t="str">
        <f aca="false">IF('Clockify Import'!A79="","",'Clockify Import'!B79)</f>
        <v/>
      </c>
      <c r="D106" s="15" t="str">
        <f aca="false">IF('Clockify Import'!A79="","",'Clockify Import'!D79)</f>
        <v/>
      </c>
      <c r="E106" s="29" t="str">
        <f aca="false">IF('Clockify Import'!A79="","",'Clockify Import'!F79)</f>
        <v/>
      </c>
    </row>
    <row r="107" customFormat="false" ht="15" hidden="false" customHeight="false" outlineLevel="0" collapsed="false">
      <c r="A107" s="33" t="str">
        <f aca="false">IF('Clockify Import'!A80="","",'Clockify Import'!E80)</f>
        <v/>
      </c>
      <c r="B107" s="15" t="str">
        <f aca="false">IF('Clockify Import'!A80="","",'Clockify Import'!H80)</f>
        <v/>
      </c>
      <c r="C107" s="15" t="str">
        <f aca="false">IF('Clockify Import'!A80="","",'Clockify Import'!B80)</f>
        <v/>
      </c>
      <c r="D107" s="15" t="str">
        <f aca="false">IF('Clockify Import'!A80="","",'Clockify Import'!D80)</f>
        <v/>
      </c>
      <c r="E107" s="29" t="str">
        <f aca="false">IF('Clockify Import'!A80="","",'Clockify Import'!F80)</f>
        <v/>
      </c>
    </row>
    <row r="108" customFormat="false" ht="15" hidden="false" customHeight="false" outlineLevel="0" collapsed="false">
      <c r="A108" s="33" t="str">
        <f aca="false">IF('Clockify Import'!A81="","",'Clockify Import'!E81)</f>
        <v/>
      </c>
      <c r="B108" s="15" t="str">
        <f aca="false">IF('Clockify Import'!A81="","",'Clockify Import'!H81)</f>
        <v/>
      </c>
      <c r="C108" s="15" t="str">
        <f aca="false">IF('Clockify Import'!A81="","",'Clockify Import'!B81)</f>
        <v/>
      </c>
      <c r="D108" s="15" t="str">
        <f aca="false">IF('Clockify Import'!A81="","",'Clockify Import'!D81)</f>
        <v/>
      </c>
      <c r="E108" s="29" t="str">
        <f aca="false">IF('Clockify Import'!A81="","",'Clockify Import'!F81)</f>
        <v/>
      </c>
    </row>
    <row r="109" customFormat="false" ht="15" hidden="false" customHeight="false" outlineLevel="0" collapsed="false">
      <c r="A109" s="33" t="str">
        <f aca="false">IF('Clockify Import'!A82="","",'Clockify Import'!E82)</f>
        <v/>
      </c>
      <c r="B109" s="15" t="str">
        <f aca="false">IF('Clockify Import'!A82="","",'Clockify Import'!H82)</f>
        <v/>
      </c>
      <c r="C109" s="15" t="str">
        <f aca="false">IF('Clockify Import'!A82="","",'Clockify Import'!B82)</f>
        <v/>
      </c>
      <c r="D109" s="15" t="str">
        <f aca="false">IF('Clockify Import'!A82="","",'Clockify Import'!D82)</f>
        <v/>
      </c>
      <c r="E109" s="29" t="str">
        <f aca="false">IF('Clockify Import'!A82="","",'Clockify Import'!F82)</f>
        <v/>
      </c>
    </row>
    <row r="110" customFormat="false" ht="15" hidden="false" customHeight="false" outlineLevel="0" collapsed="false">
      <c r="A110" s="33" t="str">
        <f aca="false">IF('Clockify Import'!A83="","",'Clockify Import'!E83)</f>
        <v/>
      </c>
      <c r="B110" s="15" t="str">
        <f aca="false">IF('Clockify Import'!A83="","",'Clockify Import'!H83)</f>
        <v/>
      </c>
      <c r="C110" s="15" t="str">
        <f aca="false">IF('Clockify Import'!A83="","",'Clockify Import'!B83)</f>
        <v/>
      </c>
      <c r="D110" s="15" t="str">
        <f aca="false">IF('Clockify Import'!A83="","",'Clockify Import'!D83)</f>
        <v/>
      </c>
      <c r="E110" s="29" t="str">
        <f aca="false">IF('Clockify Import'!A83="","",'Clockify Import'!F83)</f>
        <v/>
      </c>
    </row>
    <row r="111" customFormat="false" ht="15" hidden="false" customHeight="false" outlineLevel="0" collapsed="false">
      <c r="A111" s="33" t="str">
        <f aca="false">IF('Clockify Import'!A84="","",'Clockify Import'!E84)</f>
        <v/>
      </c>
      <c r="B111" s="15" t="str">
        <f aca="false">IF('Clockify Import'!A84="","",'Clockify Import'!H84)</f>
        <v/>
      </c>
      <c r="C111" s="15" t="str">
        <f aca="false">IF('Clockify Import'!A84="","",'Clockify Import'!B84)</f>
        <v/>
      </c>
      <c r="D111" s="15" t="str">
        <f aca="false">IF('Clockify Import'!A84="","",'Clockify Import'!D84)</f>
        <v/>
      </c>
      <c r="E111" s="29" t="str">
        <f aca="false">IF('Clockify Import'!A84="","",'Clockify Import'!F84)</f>
        <v/>
      </c>
    </row>
    <row r="112" customFormat="false" ht="15" hidden="false" customHeight="false" outlineLevel="0" collapsed="false">
      <c r="A112" s="33" t="str">
        <f aca="false">IF('Clockify Import'!A85="","",'Clockify Import'!E85)</f>
        <v/>
      </c>
      <c r="B112" s="15" t="str">
        <f aca="false">IF('Clockify Import'!A85="","",'Clockify Import'!H85)</f>
        <v/>
      </c>
      <c r="C112" s="15" t="str">
        <f aca="false">IF('Clockify Import'!A85="","",'Clockify Import'!B85)</f>
        <v/>
      </c>
      <c r="D112" s="15" t="str">
        <f aca="false">IF('Clockify Import'!A85="","",'Clockify Import'!D85)</f>
        <v/>
      </c>
      <c r="E112" s="29" t="str">
        <f aca="false">IF('Clockify Import'!A85="","",'Clockify Import'!F85)</f>
        <v/>
      </c>
    </row>
    <row r="113" customFormat="false" ht="15" hidden="false" customHeight="false" outlineLevel="0" collapsed="false">
      <c r="A113" s="33" t="str">
        <f aca="false">IF('Clockify Import'!A86="","",'Clockify Import'!E86)</f>
        <v/>
      </c>
      <c r="B113" s="15" t="str">
        <f aca="false">IF('Clockify Import'!A86="","",'Clockify Import'!H86)</f>
        <v/>
      </c>
      <c r="C113" s="15" t="str">
        <f aca="false">IF('Clockify Import'!A86="","",'Clockify Import'!B86)</f>
        <v/>
      </c>
      <c r="D113" s="15" t="str">
        <f aca="false">IF('Clockify Import'!A86="","",'Clockify Import'!D86)</f>
        <v/>
      </c>
      <c r="E113" s="29" t="str">
        <f aca="false">IF('Clockify Import'!A86="","",'Clockify Import'!F86)</f>
        <v/>
      </c>
    </row>
    <row r="114" customFormat="false" ht="15" hidden="false" customHeight="false" outlineLevel="0" collapsed="false">
      <c r="A114" s="33" t="str">
        <f aca="false">IF('Clockify Import'!A87="","",'Clockify Import'!E87)</f>
        <v/>
      </c>
      <c r="B114" s="15" t="str">
        <f aca="false">IF('Clockify Import'!A87="","",'Clockify Import'!H87)</f>
        <v/>
      </c>
      <c r="C114" s="15" t="str">
        <f aca="false">IF('Clockify Import'!A87="","",'Clockify Import'!B87)</f>
        <v/>
      </c>
      <c r="D114" s="15" t="str">
        <f aca="false">IF('Clockify Import'!A87="","",'Clockify Import'!D87)</f>
        <v/>
      </c>
      <c r="E114" s="29" t="str">
        <f aca="false">IF('Clockify Import'!A87="","",'Clockify Import'!F87)</f>
        <v/>
      </c>
    </row>
    <row r="115" customFormat="false" ht="15" hidden="false" customHeight="false" outlineLevel="0" collapsed="false">
      <c r="A115" s="33" t="str">
        <f aca="false">IF('Clockify Import'!A88="","",'Clockify Import'!E88)</f>
        <v/>
      </c>
      <c r="B115" s="15" t="str">
        <f aca="false">IF('Clockify Import'!A88="","",'Clockify Import'!H88)</f>
        <v/>
      </c>
      <c r="C115" s="15" t="str">
        <f aca="false">IF('Clockify Import'!A88="","",'Clockify Import'!B88)</f>
        <v/>
      </c>
      <c r="D115" s="15" t="str">
        <f aca="false">IF('Clockify Import'!A88="","",'Clockify Import'!D88)</f>
        <v/>
      </c>
      <c r="E115" s="29" t="str">
        <f aca="false">IF('Clockify Import'!A88="","",'Clockify Import'!F88)</f>
        <v/>
      </c>
    </row>
    <row r="116" customFormat="false" ht="15" hidden="false" customHeight="false" outlineLevel="0" collapsed="false">
      <c r="A116" s="33" t="str">
        <f aca="false">IF('Clockify Import'!A89="","",'Clockify Import'!E89)</f>
        <v/>
      </c>
      <c r="B116" s="15" t="str">
        <f aca="false">IF('Clockify Import'!A89="","",'Clockify Import'!H89)</f>
        <v/>
      </c>
      <c r="C116" s="15" t="str">
        <f aca="false">IF('Clockify Import'!A89="","",'Clockify Import'!B89)</f>
        <v/>
      </c>
      <c r="D116" s="15" t="str">
        <f aca="false">IF('Clockify Import'!A89="","",'Clockify Import'!D89)</f>
        <v/>
      </c>
      <c r="E116" s="29" t="str">
        <f aca="false">IF('Clockify Import'!A89="","",'Clockify Import'!F89)</f>
        <v/>
      </c>
    </row>
    <row r="117" customFormat="false" ht="15" hidden="false" customHeight="false" outlineLevel="0" collapsed="false">
      <c r="A117" s="33" t="str">
        <f aca="false">IF('Clockify Import'!A90="","",'Clockify Import'!E90)</f>
        <v/>
      </c>
      <c r="B117" s="15" t="str">
        <f aca="false">IF('Clockify Import'!A90="","",'Clockify Import'!H90)</f>
        <v/>
      </c>
      <c r="C117" s="15" t="str">
        <f aca="false">IF('Clockify Import'!A90="","",'Clockify Import'!B90)</f>
        <v/>
      </c>
      <c r="D117" s="15" t="str">
        <f aca="false">IF('Clockify Import'!A90="","",'Clockify Import'!D90)</f>
        <v/>
      </c>
      <c r="E117" s="29" t="str">
        <f aca="false">IF('Clockify Import'!A90="","",'Clockify Import'!F90)</f>
        <v/>
      </c>
    </row>
    <row r="118" customFormat="false" ht="15" hidden="false" customHeight="false" outlineLevel="0" collapsed="false">
      <c r="A118" s="33" t="str">
        <f aca="false">IF('Clockify Import'!A91="","",'Clockify Import'!E91)</f>
        <v/>
      </c>
      <c r="B118" s="15" t="str">
        <f aca="false">IF('Clockify Import'!A91="","",'Clockify Import'!H91)</f>
        <v/>
      </c>
      <c r="C118" s="15" t="str">
        <f aca="false">IF('Clockify Import'!A91="","",'Clockify Import'!B91)</f>
        <v/>
      </c>
      <c r="D118" s="15" t="str">
        <f aca="false">IF('Clockify Import'!A91="","",'Clockify Import'!D91)</f>
        <v/>
      </c>
      <c r="E118" s="29" t="str">
        <f aca="false">IF('Clockify Import'!A91="","",'Clockify Import'!F91)</f>
        <v/>
      </c>
    </row>
    <row r="119" customFormat="false" ht="15" hidden="false" customHeight="false" outlineLevel="0" collapsed="false">
      <c r="A119" s="33" t="str">
        <f aca="false">IF('Clockify Import'!A92="","",'Clockify Import'!E92)</f>
        <v/>
      </c>
      <c r="B119" s="15" t="str">
        <f aca="false">IF('Clockify Import'!A92="","",'Clockify Import'!H92)</f>
        <v/>
      </c>
      <c r="C119" s="15" t="str">
        <f aca="false">IF('Clockify Import'!A92="","",'Clockify Import'!B92)</f>
        <v/>
      </c>
      <c r="D119" s="15" t="str">
        <f aca="false">IF('Clockify Import'!A92="","",'Clockify Import'!D92)</f>
        <v/>
      </c>
      <c r="E119" s="29" t="str">
        <f aca="false">IF('Clockify Import'!A92="","",'Clockify Import'!F92)</f>
        <v/>
      </c>
    </row>
    <row r="120" customFormat="false" ht="15" hidden="false" customHeight="false" outlineLevel="0" collapsed="false">
      <c r="A120" s="33" t="str">
        <f aca="false">IF('Clockify Import'!A93="","",'Clockify Import'!E93)</f>
        <v/>
      </c>
      <c r="B120" s="15" t="str">
        <f aca="false">IF('Clockify Import'!A93="","",'Clockify Import'!H93)</f>
        <v/>
      </c>
      <c r="C120" s="15" t="str">
        <f aca="false">IF('Clockify Import'!A93="","",'Clockify Import'!B93)</f>
        <v/>
      </c>
      <c r="D120" s="15" t="str">
        <f aca="false">IF('Clockify Import'!A93="","",'Clockify Import'!D93)</f>
        <v/>
      </c>
      <c r="E120" s="29" t="str">
        <f aca="false">IF('Clockify Import'!A93="","",'Clockify Import'!F93)</f>
        <v/>
      </c>
    </row>
    <row r="121" customFormat="false" ht="15" hidden="false" customHeight="false" outlineLevel="0" collapsed="false">
      <c r="A121" s="33" t="str">
        <f aca="false">IF('Clockify Import'!A94="","",'Clockify Import'!E94)</f>
        <v/>
      </c>
      <c r="B121" s="15" t="str">
        <f aca="false">IF('Clockify Import'!A94="","",'Clockify Import'!H94)</f>
        <v/>
      </c>
      <c r="C121" s="15" t="str">
        <f aca="false">IF('Clockify Import'!A94="","",'Clockify Import'!B94)</f>
        <v/>
      </c>
      <c r="D121" s="15" t="str">
        <f aca="false">IF('Clockify Import'!A94="","",'Clockify Import'!D94)</f>
        <v/>
      </c>
      <c r="E121" s="29" t="str">
        <f aca="false">IF('Clockify Import'!A94="","",'Clockify Import'!F94)</f>
        <v/>
      </c>
    </row>
    <row r="122" customFormat="false" ht="15" hidden="false" customHeight="false" outlineLevel="0" collapsed="false">
      <c r="A122" s="33" t="str">
        <f aca="false">IF('Clockify Import'!A95="","",'Clockify Import'!E95)</f>
        <v/>
      </c>
      <c r="B122" s="15" t="str">
        <f aca="false">IF('Clockify Import'!A95="","",'Clockify Import'!H95)</f>
        <v/>
      </c>
      <c r="C122" s="15" t="str">
        <f aca="false">IF('Clockify Import'!A95="","",'Clockify Import'!B95)</f>
        <v/>
      </c>
      <c r="D122" s="15" t="str">
        <f aca="false">IF('Clockify Import'!A95="","",'Clockify Import'!D95)</f>
        <v/>
      </c>
      <c r="E122" s="29" t="str">
        <f aca="false">IF('Clockify Import'!A95="","",'Clockify Import'!F95)</f>
        <v/>
      </c>
    </row>
    <row r="123" customFormat="false" ht="15" hidden="false" customHeight="false" outlineLevel="0" collapsed="false">
      <c r="A123" s="33" t="str">
        <f aca="false">IF('Clockify Import'!A96="","",'Clockify Import'!E96)</f>
        <v/>
      </c>
      <c r="B123" s="15" t="str">
        <f aca="false">IF('Clockify Import'!A96="","",'Clockify Import'!H96)</f>
        <v/>
      </c>
      <c r="C123" s="15" t="str">
        <f aca="false">IF('Clockify Import'!A96="","",'Clockify Import'!B96)</f>
        <v/>
      </c>
      <c r="D123" s="15" t="str">
        <f aca="false">IF('Clockify Import'!A96="","",'Clockify Import'!D96)</f>
        <v/>
      </c>
      <c r="E123" s="29" t="str">
        <f aca="false">IF('Clockify Import'!A96="","",'Clockify Import'!F96)</f>
        <v/>
      </c>
    </row>
    <row r="124" customFormat="false" ht="15" hidden="false" customHeight="false" outlineLevel="0" collapsed="false">
      <c r="A124" s="33" t="str">
        <f aca="false">IF('Clockify Import'!A97="","",'Clockify Import'!E97)</f>
        <v/>
      </c>
      <c r="B124" s="15" t="str">
        <f aca="false">IF('Clockify Import'!A97="","",'Clockify Import'!H97)</f>
        <v/>
      </c>
      <c r="C124" s="15" t="str">
        <f aca="false">IF('Clockify Import'!A97="","",'Clockify Import'!B97)</f>
        <v/>
      </c>
      <c r="D124" s="15" t="str">
        <f aca="false">IF('Clockify Import'!A97="","",'Clockify Import'!D97)</f>
        <v/>
      </c>
      <c r="E124" s="29" t="str">
        <f aca="false">IF('Clockify Import'!A97="","",'Clockify Import'!F97)</f>
        <v/>
      </c>
    </row>
    <row r="125" customFormat="false" ht="15" hidden="false" customHeight="false" outlineLevel="0" collapsed="false">
      <c r="A125" s="33" t="str">
        <f aca="false">IF('Clockify Import'!A98="","",'Clockify Import'!E98)</f>
        <v/>
      </c>
      <c r="B125" s="15" t="str">
        <f aca="false">IF('Clockify Import'!A98="","",'Clockify Import'!H98)</f>
        <v/>
      </c>
      <c r="C125" s="15" t="str">
        <f aca="false">IF('Clockify Import'!A98="","",'Clockify Import'!B98)</f>
        <v/>
      </c>
      <c r="D125" s="15" t="str">
        <f aca="false">IF('Clockify Import'!A98="","",'Clockify Import'!D98)</f>
        <v/>
      </c>
      <c r="E125" s="29" t="str">
        <f aca="false">IF('Clockify Import'!A98="","",'Clockify Import'!F98)</f>
        <v/>
      </c>
    </row>
    <row r="126" customFormat="false" ht="15" hidden="false" customHeight="false" outlineLevel="0" collapsed="false">
      <c r="A126" s="33" t="str">
        <f aca="false">IF('Clockify Import'!A99="","",'Clockify Import'!E99)</f>
        <v/>
      </c>
      <c r="B126" s="15" t="str">
        <f aca="false">IF('Clockify Import'!A99="","",'Clockify Import'!H99)</f>
        <v/>
      </c>
      <c r="C126" s="15" t="str">
        <f aca="false">IF('Clockify Import'!A99="","",'Clockify Import'!B99)</f>
        <v/>
      </c>
      <c r="D126" s="15" t="str">
        <f aca="false">IF('Clockify Import'!A99="","",'Clockify Import'!D99)</f>
        <v/>
      </c>
      <c r="E126" s="29" t="str">
        <f aca="false">IF('Clockify Import'!A99="","",'Clockify Import'!F99)</f>
        <v/>
      </c>
    </row>
    <row r="127" customFormat="false" ht="15" hidden="false" customHeight="false" outlineLevel="0" collapsed="false">
      <c r="A127" s="33" t="str">
        <f aca="false">IF('Clockify Import'!A100="","",'Clockify Import'!E100)</f>
        <v/>
      </c>
      <c r="B127" s="15" t="str">
        <f aca="false">IF('Clockify Import'!A100="","",'Clockify Import'!H100)</f>
        <v/>
      </c>
      <c r="C127" s="15" t="str">
        <f aca="false">IF('Clockify Import'!A100="","",'Clockify Import'!B100)</f>
        <v/>
      </c>
      <c r="D127" s="15" t="str">
        <f aca="false">IF('Clockify Import'!A100="","",'Clockify Import'!D100)</f>
        <v/>
      </c>
      <c r="E127" s="29" t="str">
        <f aca="false">IF('Clockify Import'!A100="","",'Clockify Import'!F100)</f>
        <v/>
      </c>
    </row>
    <row r="128" customFormat="false" ht="15" hidden="false" customHeight="false" outlineLevel="0" collapsed="false">
      <c r="A128" s="33" t="str">
        <f aca="false">IF('Clockify Import'!A101="","",'Clockify Import'!E101)</f>
        <v/>
      </c>
      <c r="B128" s="15" t="str">
        <f aca="false">IF('Clockify Import'!A101="","",'Clockify Import'!H101)</f>
        <v/>
      </c>
      <c r="C128" s="15" t="str">
        <f aca="false">IF('Clockify Import'!A101="","",'Clockify Import'!B101)</f>
        <v/>
      </c>
      <c r="D128" s="15" t="str">
        <f aca="false">IF('Clockify Import'!A101="","",'Clockify Import'!D101)</f>
        <v/>
      </c>
      <c r="E128" s="29" t="str">
        <f aca="false">IF('Clockify Import'!A101="","",'Clockify Import'!F101)</f>
        <v/>
      </c>
    </row>
    <row r="129" customFormat="false" ht="15" hidden="false" customHeight="false" outlineLevel="0" collapsed="false">
      <c r="A129" s="33" t="str">
        <f aca="false">IF('Clockify Import'!A102="","",'Clockify Import'!E102)</f>
        <v/>
      </c>
      <c r="B129" s="15" t="str">
        <f aca="false">IF('Clockify Import'!A102="","",'Clockify Import'!H102)</f>
        <v/>
      </c>
      <c r="C129" s="15" t="str">
        <f aca="false">IF('Clockify Import'!A102="","",'Clockify Import'!B102)</f>
        <v/>
      </c>
      <c r="D129" s="15" t="str">
        <f aca="false">IF('Clockify Import'!A102="","",'Clockify Import'!D102)</f>
        <v/>
      </c>
      <c r="E129" s="29" t="str">
        <f aca="false">IF('Clockify Import'!A102="","",'Clockify Import'!F102)</f>
        <v/>
      </c>
    </row>
    <row r="130" customFormat="false" ht="15" hidden="false" customHeight="false" outlineLevel="0" collapsed="false">
      <c r="A130" s="33" t="str">
        <f aca="false">IF('Clockify Import'!A103="","",'Clockify Import'!E103)</f>
        <v/>
      </c>
      <c r="B130" s="15" t="str">
        <f aca="false">IF('Clockify Import'!A103="","",'Clockify Import'!H103)</f>
        <v/>
      </c>
      <c r="C130" s="15" t="str">
        <f aca="false">IF('Clockify Import'!A103="","",'Clockify Import'!B103)</f>
        <v/>
      </c>
      <c r="D130" s="15" t="str">
        <f aca="false">IF('Clockify Import'!A103="","",'Clockify Import'!D103)</f>
        <v/>
      </c>
      <c r="E130" s="29" t="str">
        <f aca="false">IF('Clockify Import'!A103="","",'Clockify Import'!F103)</f>
        <v/>
      </c>
    </row>
    <row r="131" customFormat="false" ht="15" hidden="false" customHeight="false" outlineLevel="0" collapsed="false">
      <c r="A131" s="33" t="str">
        <f aca="false">IF('Clockify Import'!A104="","",'Clockify Import'!E104)</f>
        <v/>
      </c>
      <c r="B131" s="15" t="str">
        <f aca="false">IF('Clockify Import'!A104="","",'Clockify Import'!H104)</f>
        <v/>
      </c>
      <c r="C131" s="15" t="str">
        <f aca="false">IF('Clockify Import'!A104="","",'Clockify Import'!B104)</f>
        <v/>
      </c>
      <c r="D131" s="15" t="str">
        <f aca="false">IF('Clockify Import'!A104="","",'Clockify Import'!D104)</f>
        <v/>
      </c>
      <c r="E131" s="29" t="str">
        <f aca="false">IF('Clockify Import'!A104="","",'Clockify Import'!F104)</f>
        <v/>
      </c>
    </row>
    <row r="132" customFormat="false" ht="15" hidden="false" customHeight="false" outlineLevel="0" collapsed="false">
      <c r="A132" s="33" t="str">
        <f aca="false">IF('Clockify Import'!A105="","",'Clockify Import'!E105)</f>
        <v/>
      </c>
      <c r="B132" s="15" t="str">
        <f aca="false">IF('Clockify Import'!A105="","",'Clockify Import'!H105)</f>
        <v/>
      </c>
      <c r="C132" s="15" t="str">
        <f aca="false">IF('Clockify Import'!A105="","",'Clockify Import'!B105)</f>
        <v/>
      </c>
      <c r="D132" s="15" t="str">
        <f aca="false">IF('Clockify Import'!A105="","",'Clockify Import'!D105)</f>
        <v/>
      </c>
      <c r="E132" s="29" t="str">
        <f aca="false">IF('Clockify Import'!A105="","",'Clockify Import'!F105)</f>
        <v/>
      </c>
    </row>
    <row r="133" customFormat="false" ht="15" hidden="false" customHeight="false" outlineLevel="0" collapsed="false">
      <c r="A133" s="33" t="str">
        <f aca="false">IF('Clockify Import'!A106="","",'Clockify Import'!E106)</f>
        <v/>
      </c>
      <c r="B133" s="15" t="str">
        <f aca="false">IF('Clockify Import'!A106="","",'Clockify Import'!H106)</f>
        <v/>
      </c>
      <c r="C133" s="15" t="str">
        <f aca="false">IF('Clockify Import'!A106="","",'Clockify Import'!B106)</f>
        <v/>
      </c>
      <c r="D133" s="15" t="str">
        <f aca="false">IF('Clockify Import'!A106="","",'Clockify Import'!D106)</f>
        <v/>
      </c>
      <c r="E133" s="29" t="str">
        <f aca="false">IF('Clockify Import'!A106="","",'Clockify Import'!F106)</f>
        <v/>
      </c>
    </row>
    <row r="134" customFormat="false" ht="15" hidden="false" customHeight="false" outlineLevel="0" collapsed="false">
      <c r="A134" s="33" t="str">
        <f aca="false">IF('Clockify Import'!A107="","",'Clockify Import'!E107)</f>
        <v/>
      </c>
      <c r="B134" s="15" t="str">
        <f aca="false">IF('Clockify Import'!A107="","",'Clockify Import'!H107)</f>
        <v/>
      </c>
      <c r="C134" s="15" t="str">
        <f aca="false">IF('Clockify Import'!A107="","",'Clockify Import'!B107)</f>
        <v/>
      </c>
      <c r="D134" s="15" t="str">
        <f aca="false">IF('Clockify Import'!A107="","",'Clockify Import'!D107)</f>
        <v/>
      </c>
      <c r="E134" s="29" t="str">
        <f aca="false">IF('Clockify Import'!A107="","",'Clockify Import'!F107)</f>
        <v/>
      </c>
    </row>
    <row r="135" customFormat="false" ht="15" hidden="false" customHeight="false" outlineLevel="0" collapsed="false">
      <c r="A135" s="33" t="str">
        <f aca="false">IF('Clockify Import'!A108="","",'Clockify Import'!E108)</f>
        <v/>
      </c>
      <c r="B135" s="15" t="str">
        <f aca="false">IF('Clockify Import'!A108="","",'Clockify Import'!H108)</f>
        <v/>
      </c>
      <c r="C135" s="15" t="str">
        <f aca="false">IF('Clockify Import'!A108="","",'Clockify Import'!B108)</f>
        <v/>
      </c>
      <c r="D135" s="15" t="str">
        <f aca="false">IF('Clockify Import'!A108="","",'Clockify Import'!D108)</f>
        <v/>
      </c>
      <c r="E135" s="29" t="str">
        <f aca="false">IF('Clockify Import'!A108="","",'Clockify Import'!F108)</f>
        <v/>
      </c>
    </row>
    <row r="136" customFormat="false" ht="15" hidden="false" customHeight="false" outlineLevel="0" collapsed="false">
      <c r="A136" s="33" t="str">
        <f aca="false">IF('Clockify Import'!A109="","",'Clockify Import'!E109)</f>
        <v/>
      </c>
      <c r="B136" s="15" t="str">
        <f aca="false">IF('Clockify Import'!A109="","",'Clockify Import'!H109)</f>
        <v/>
      </c>
      <c r="C136" s="15" t="str">
        <f aca="false">IF('Clockify Import'!A109="","",'Clockify Import'!B109)</f>
        <v/>
      </c>
      <c r="D136" s="15" t="str">
        <f aca="false">IF('Clockify Import'!A109="","",'Clockify Import'!D109)</f>
        <v/>
      </c>
      <c r="E136" s="29" t="str">
        <f aca="false">IF('Clockify Import'!A109="","",'Clockify Import'!F109)</f>
        <v/>
      </c>
    </row>
    <row r="137" customFormat="false" ht="15" hidden="false" customHeight="false" outlineLevel="0" collapsed="false">
      <c r="A137" s="33" t="str">
        <f aca="false">IF('Clockify Import'!A110="","",'Clockify Import'!E110)</f>
        <v/>
      </c>
      <c r="B137" s="15" t="str">
        <f aca="false">IF('Clockify Import'!A110="","",'Clockify Import'!H110)</f>
        <v/>
      </c>
      <c r="C137" s="15" t="str">
        <f aca="false">IF('Clockify Import'!A110="","",'Clockify Import'!B110)</f>
        <v/>
      </c>
      <c r="D137" s="15" t="str">
        <f aca="false">IF('Clockify Import'!A110="","",'Clockify Import'!D110)</f>
        <v/>
      </c>
      <c r="E137" s="29" t="str">
        <f aca="false">IF('Clockify Import'!A110="","",'Clockify Import'!F110)</f>
        <v/>
      </c>
    </row>
    <row r="138" customFormat="false" ht="15" hidden="false" customHeight="false" outlineLevel="0" collapsed="false">
      <c r="A138" s="33" t="str">
        <f aca="false">IF('Clockify Import'!A111="","",'Clockify Import'!E111)</f>
        <v/>
      </c>
      <c r="B138" s="15" t="str">
        <f aca="false">IF('Clockify Import'!A111="","",'Clockify Import'!H111)</f>
        <v/>
      </c>
      <c r="C138" s="15" t="str">
        <f aca="false">IF('Clockify Import'!A111="","",'Clockify Import'!B111)</f>
        <v/>
      </c>
      <c r="D138" s="15" t="str">
        <f aca="false">IF('Clockify Import'!A111="","",'Clockify Import'!D111)</f>
        <v/>
      </c>
      <c r="E138" s="29" t="str">
        <f aca="false">IF('Clockify Import'!A111="","",'Clockify Import'!F111)</f>
        <v/>
      </c>
    </row>
    <row r="139" customFormat="false" ht="15" hidden="false" customHeight="false" outlineLevel="0" collapsed="false">
      <c r="A139" s="33" t="str">
        <f aca="false">IF('Clockify Import'!A112="","",'Clockify Import'!E112)</f>
        <v/>
      </c>
      <c r="B139" s="15" t="str">
        <f aca="false">IF('Clockify Import'!A112="","",'Clockify Import'!H112)</f>
        <v/>
      </c>
      <c r="C139" s="15" t="str">
        <f aca="false">IF('Clockify Import'!A112="","",'Clockify Import'!B112)</f>
        <v/>
      </c>
      <c r="D139" s="15" t="str">
        <f aca="false">IF('Clockify Import'!A112="","",'Clockify Import'!D112)</f>
        <v/>
      </c>
      <c r="E139" s="29" t="str">
        <f aca="false">IF('Clockify Import'!A112="","",'Clockify Import'!F112)</f>
        <v/>
      </c>
    </row>
    <row r="140" customFormat="false" ht="15" hidden="false" customHeight="false" outlineLevel="0" collapsed="false">
      <c r="A140" s="33" t="str">
        <f aca="false">IF('Clockify Import'!A113="","",'Clockify Import'!E113)</f>
        <v/>
      </c>
      <c r="B140" s="15" t="str">
        <f aca="false">IF('Clockify Import'!A113="","",'Clockify Import'!H113)</f>
        <v/>
      </c>
      <c r="C140" s="15" t="str">
        <f aca="false">IF('Clockify Import'!A113="","",'Clockify Import'!B113)</f>
        <v/>
      </c>
      <c r="D140" s="15" t="str">
        <f aca="false">IF('Clockify Import'!A113="","",'Clockify Import'!D113)</f>
        <v/>
      </c>
      <c r="E140" s="29" t="str">
        <f aca="false">IF('Clockify Import'!A113="","",'Clockify Import'!F113)</f>
        <v/>
      </c>
    </row>
    <row r="141" customFormat="false" ht="15" hidden="false" customHeight="false" outlineLevel="0" collapsed="false">
      <c r="A141" s="33" t="str">
        <f aca="false">IF('Clockify Import'!A114="","",'Clockify Import'!E114)</f>
        <v/>
      </c>
      <c r="B141" s="15" t="str">
        <f aca="false">IF('Clockify Import'!A114="","",'Clockify Import'!H114)</f>
        <v/>
      </c>
      <c r="C141" s="15" t="str">
        <f aca="false">IF('Clockify Import'!A114="","",'Clockify Import'!B114)</f>
        <v/>
      </c>
      <c r="D141" s="15" t="str">
        <f aca="false">IF('Clockify Import'!A114="","",'Clockify Import'!D114)</f>
        <v/>
      </c>
      <c r="E141" s="29" t="str">
        <f aca="false">IF('Clockify Import'!A114="","",'Clockify Import'!F114)</f>
        <v/>
      </c>
    </row>
    <row r="142" customFormat="false" ht="15" hidden="false" customHeight="false" outlineLevel="0" collapsed="false">
      <c r="A142" s="33" t="str">
        <f aca="false">IF('Clockify Import'!A115="","",'Clockify Import'!E115)</f>
        <v/>
      </c>
      <c r="B142" s="15" t="str">
        <f aca="false">IF('Clockify Import'!A115="","",'Clockify Import'!H115)</f>
        <v/>
      </c>
      <c r="C142" s="15" t="str">
        <f aca="false">IF('Clockify Import'!A115="","",'Clockify Import'!B115)</f>
        <v/>
      </c>
      <c r="D142" s="15" t="str">
        <f aca="false">IF('Clockify Import'!A115="","",'Clockify Import'!D115)</f>
        <v/>
      </c>
      <c r="E142" s="29" t="str">
        <f aca="false">IF('Clockify Import'!A115="","",'Clockify Import'!F115)</f>
        <v/>
      </c>
    </row>
    <row r="143" customFormat="false" ht="15" hidden="false" customHeight="false" outlineLevel="0" collapsed="false">
      <c r="A143" s="33" t="str">
        <f aca="false">IF('Clockify Import'!A116="","",'Clockify Import'!E116)</f>
        <v/>
      </c>
      <c r="B143" s="15" t="str">
        <f aca="false">IF('Clockify Import'!A116="","",'Clockify Import'!H116)</f>
        <v/>
      </c>
      <c r="C143" s="15" t="str">
        <f aca="false">IF('Clockify Import'!A116="","",'Clockify Import'!B116)</f>
        <v/>
      </c>
      <c r="D143" s="15" t="str">
        <f aca="false">IF('Clockify Import'!A116="","",'Clockify Import'!D116)</f>
        <v/>
      </c>
      <c r="E143" s="29" t="str">
        <f aca="false">IF('Clockify Import'!A116="","",'Clockify Import'!F116)</f>
        <v/>
      </c>
    </row>
    <row r="144" customFormat="false" ht="15" hidden="false" customHeight="false" outlineLevel="0" collapsed="false">
      <c r="A144" s="33" t="str">
        <f aca="false">IF('Clockify Import'!A117="","",'Clockify Import'!E117)</f>
        <v/>
      </c>
      <c r="B144" s="15" t="str">
        <f aca="false">IF('Clockify Import'!A117="","",'Clockify Import'!H117)</f>
        <v/>
      </c>
      <c r="C144" s="15" t="str">
        <f aca="false">IF('Clockify Import'!A117="","",'Clockify Import'!B117)</f>
        <v/>
      </c>
      <c r="D144" s="15" t="str">
        <f aca="false">IF('Clockify Import'!A117="","",'Clockify Import'!D117)</f>
        <v/>
      </c>
      <c r="E144" s="29" t="str">
        <f aca="false">IF('Clockify Import'!A117="","",'Clockify Import'!F117)</f>
        <v/>
      </c>
    </row>
    <row r="145" customFormat="false" ht="15" hidden="false" customHeight="false" outlineLevel="0" collapsed="false">
      <c r="A145" s="33" t="str">
        <f aca="false">IF('Clockify Import'!A118="","",'Clockify Import'!E118)</f>
        <v/>
      </c>
      <c r="B145" s="15" t="str">
        <f aca="false">IF('Clockify Import'!A118="","",'Clockify Import'!H118)</f>
        <v/>
      </c>
      <c r="C145" s="15" t="str">
        <f aca="false">IF('Clockify Import'!A118="","",'Clockify Import'!B118)</f>
        <v/>
      </c>
      <c r="D145" s="15" t="str">
        <f aca="false">IF('Clockify Import'!A118="","",'Clockify Import'!D118)</f>
        <v/>
      </c>
      <c r="E145" s="29" t="str">
        <f aca="false">IF('Clockify Import'!A118="","",'Clockify Import'!F118)</f>
        <v/>
      </c>
    </row>
    <row r="146" customFormat="false" ht="15" hidden="false" customHeight="false" outlineLevel="0" collapsed="false">
      <c r="A146" s="33" t="str">
        <f aca="false">IF('Clockify Import'!A119="","",'Clockify Import'!E119)</f>
        <v/>
      </c>
      <c r="B146" s="15" t="str">
        <f aca="false">IF('Clockify Import'!A119="","",'Clockify Import'!H119)</f>
        <v/>
      </c>
      <c r="C146" s="15" t="str">
        <f aca="false">IF('Clockify Import'!A119="","",'Clockify Import'!B119)</f>
        <v/>
      </c>
      <c r="D146" s="15" t="str">
        <f aca="false">IF('Clockify Import'!A119="","",'Clockify Import'!D119)</f>
        <v/>
      </c>
      <c r="E146" s="29" t="str">
        <f aca="false">IF('Clockify Import'!A119="","",'Clockify Import'!F119)</f>
        <v/>
      </c>
    </row>
    <row r="147" customFormat="false" ht="15" hidden="false" customHeight="false" outlineLevel="0" collapsed="false">
      <c r="A147" s="33" t="str">
        <f aca="false">IF('Clockify Import'!A120="","",'Clockify Import'!E120)</f>
        <v/>
      </c>
      <c r="B147" s="15" t="str">
        <f aca="false">IF('Clockify Import'!A120="","",'Clockify Import'!H120)</f>
        <v/>
      </c>
      <c r="C147" s="15" t="str">
        <f aca="false">IF('Clockify Import'!A120="","",'Clockify Import'!B120)</f>
        <v/>
      </c>
      <c r="D147" s="15" t="str">
        <f aca="false">IF('Clockify Import'!A120="","",'Clockify Import'!D120)</f>
        <v/>
      </c>
      <c r="E147" s="29" t="str">
        <f aca="false">IF('Clockify Import'!A120="","",'Clockify Import'!F120)</f>
        <v/>
      </c>
    </row>
    <row r="148" customFormat="false" ht="15" hidden="false" customHeight="false" outlineLevel="0" collapsed="false">
      <c r="A148" s="33" t="str">
        <f aca="false">IF('Clockify Import'!A121="","",'Clockify Import'!E121)</f>
        <v/>
      </c>
      <c r="B148" s="15" t="str">
        <f aca="false">IF('Clockify Import'!A121="","",'Clockify Import'!H121)</f>
        <v/>
      </c>
      <c r="C148" s="15" t="str">
        <f aca="false">IF('Clockify Import'!A121="","",'Clockify Import'!B121)</f>
        <v/>
      </c>
      <c r="D148" s="15" t="str">
        <f aca="false">IF('Clockify Import'!A121="","",'Clockify Import'!D121)</f>
        <v/>
      </c>
      <c r="E148" s="29" t="str">
        <f aca="false">IF('Clockify Import'!A121="","",'Clockify Import'!F121)</f>
        <v/>
      </c>
    </row>
    <row r="149" customFormat="false" ht="15" hidden="false" customHeight="false" outlineLevel="0" collapsed="false">
      <c r="A149" s="33" t="str">
        <f aca="false">IF('Clockify Import'!A122="","",'Clockify Import'!E122)</f>
        <v/>
      </c>
      <c r="B149" s="15" t="str">
        <f aca="false">IF('Clockify Import'!A122="","",'Clockify Import'!H122)</f>
        <v/>
      </c>
      <c r="C149" s="15" t="str">
        <f aca="false">IF('Clockify Import'!A122="","",'Clockify Import'!B122)</f>
        <v/>
      </c>
      <c r="D149" s="15" t="str">
        <f aca="false">IF('Clockify Import'!A122="","",'Clockify Import'!D122)</f>
        <v/>
      </c>
      <c r="E149" s="29" t="str">
        <f aca="false">IF('Clockify Import'!A122="","",'Clockify Import'!F122)</f>
        <v/>
      </c>
    </row>
    <row r="150" customFormat="false" ht="15" hidden="false" customHeight="false" outlineLevel="0" collapsed="false">
      <c r="A150" s="33" t="str">
        <f aca="false">IF('Clockify Import'!A123="","",'Clockify Import'!E123)</f>
        <v/>
      </c>
      <c r="B150" s="15" t="str">
        <f aca="false">IF('Clockify Import'!A123="","",'Clockify Import'!H123)</f>
        <v/>
      </c>
      <c r="C150" s="15" t="str">
        <f aca="false">IF('Clockify Import'!A123="","",'Clockify Import'!B123)</f>
        <v/>
      </c>
      <c r="D150" s="15" t="str">
        <f aca="false">IF('Clockify Import'!A123="","",'Clockify Import'!D123)</f>
        <v/>
      </c>
      <c r="E150" s="29" t="str">
        <f aca="false">IF('Clockify Import'!A123="","",'Clockify Import'!F123)</f>
        <v/>
      </c>
    </row>
    <row r="151" customFormat="false" ht="15" hidden="false" customHeight="false" outlineLevel="0" collapsed="false">
      <c r="A151" s="33" t="str">
        <f aca="false">IF('Clockify Import'!A124="","",'Clockify Import'!E124)</f>
        <v/>
      </c>
      <c r="B151" s="15" t="str">
        <f aca="false">IF('Clockify Import'!A124="","",'Clockify Import'!H124)</f>
        <v/>
      </c>
      <c r="C151" s="15" t="str">
        <f aca="false">IF('Clockify Import'!A124="","",'Clockify Import'!B124)</f>
        <v/>
      </c>
      <c r="D151" s="15" t="str">
        <f aca="false">IF('Clockify Import'!A124="","",'Clockify Import'!D124)</f>
        <v/>
      </c>
      <c r="E151" s="29" t="str">
        <f aca="false">IF('Clockify Import'!A124="","",'Clockify Import'!F124)</f>
        <v/>
      </c>
    </row>
    <row r="152" customFormat="false" ht="15" hidden="false" customHeight="false" outlineLevel="0" collapsed="false">
      <c r="A152" s="33" t="str">
        <f aca="false">IF('Clockify Import'!A125="","",'Clockify Import'!E125)</f>
        <v/>
      </c>
      <c r="B152" s="15" t="str">
        <f aca="false">IF('Clockify Import'!A125="","",'Clockify Import'!H125)</f>
        <v/>
      </c>
      <c r="C152" s="15" t="str">
        <f aca="false">IF('Clockify Import'!A125="","",'Clockify Import'!B125)</f>
        <v/>
      </c>
      <c r="D152" s="15" t="str">
        <f aca="false">IF('Clockify Import'!A125="","",'Clockify Import'!D125)</f>
        <v/>
      </c>
      <c r="E152" s="29" t="str">
        <f aca="false">IF('Clockify Import'!A125="","",'Clockify Import'!F125)</f>
        <v/>
      </c>
    </row>
    <row r="153" customFormat="false" ht="15" hidden="false" customHeight="false" outlineLevel="0" collapsed="false">
      <c r="A153" s="33" t="str">
        <f aca="false">IF('Clockify Import'!A126="","",'Clockify Import'!E126)</f>
        <v/>
      </c>
      <c r="B153" s="15" t="str">
        <f aca="false">IF('Clockify Import'!A126="","",'Clockify Import'!H126)</f>
        <v/>
      </c>
      <c r="C153" s="15" t="str">
        <f aca="false">IF('Clockify Import'!A126="","",'Clockify Import'!B126)</f>
        <v/>
      </c>
      <c r="D153" s="15" t="str">
        <f aca="false">IF('Clockify Import'!A126="","",'Clockify Import'!D126)</f>
        <v/>
      </c>
      <c r="E153" s="29" t="str">
        <f aca="false">IF('Clockify Import'!A126="","",'Clockify Import'!F126)</f>
        <v/>
      </c>
    </row>
    <row r="154" customFormat="false" ht="15" hidden="false" customHeight="false" outlineLevel="0" collapsed="false">
      <c r="A154" s="33" t="str">
        <f aca="false">IF('Clockify Import'!A127="","",'Clockify Import'!E127)</f>
        <v/>
      </c>
      <c r="B154" s="15" t="str">
        <f aca="false">IF('Clockify Import'!A127="","",'Clockify Import'!H127)</f>
        <v/>
      </c>
      <c r="C154" s="15" t="str">
        <f aca="false">IF('Clockify Import'!A127="","",'Clockify Import'!B127)</f>
        <v/>
      </c>
      <c r="D154" s="15" t="str">
        <f aca="false">IF('Clockify Import'!A127="","",'Clockify Import'!D127)</f>
        <v/>
      </c>
      <c r="E154" s="29" t="str">
        <f aca="false">IF('Clockify Import'!A127="","",'Clockify Import'!F127)</f>
        <v/>
      </c>
    </row>
    <row r="155" customFormat="false" ht="15" hidden="false" customHeight="false" outlineLevel="0" collapsed="false">
      <c r="A155" s="33" t="str">
        <f aca="false">IF('Clockify Import'!A128="","",'Clockify Import'!E128)</f>
        <v/>
      </c>
      <c r="B155" s="15" t="str">
        <f aca="false">IF('Clockify Import'!A128="","",'Clockify Import'!H128)</f>
        <v/>
      </c>
      <c r="C155" s="15" t="str">
        <f aca="false">IF('Clockify Import'!A128="","",'Clockify Import'!B128)</f>
        <v/>
      </c>
      <c r="D155" s="15" t="str">
        <f aca="false">IF('Clockify Import'!A128="","",'Clockify Import'!D128)</f>
        <v/>
      </c>
      <c r="E155" s="29" t="str">
        <f aca="false">IF('Clockify Import'!A128="","",'Clockify Import'!F128)</f>
        <v/>
      </c>
    </row>
    <row r="156" customFormat="false" ht="15" hidden="false" customHeight="false" outlineLevel="0" collapsed="false">
      <c r="A156" s="33" t="str">
        <f aca="false">IF('Clockify Import'!A129="","",'Clockify Import'!E129)</f>
        <v/>
      </c>
      <c r="B156" s="15" t="str">
        <f aca="false">IF('Clockify Import'!A129="","",'Clockify Import'!H129)</f>
        <v/>
      </c>
      <c r="C156" s="15" t="str">
        <f aca="false">IF('Clockify Import'!A129="","",'Clockify Import'!B129)</f>
        <v/>
      </c>
      <c r="D156" s="15" t="str">
        <f aca="false">IF('Clockify Import'!A129="","",'Clockify Import'!D129)</f>
        <v/>
      </c>
      <c r="E156" s="29" t="str">
        <f aca="false">IF('Clockify Import'!A129="","",'Clockify Import'!F129)</f>
        <v/>
      </c>
    </row>
    <row r="157" customFormat="false" ht="15" hidden="false" customHeight="false" outlineLevel="0" collapsed="false">
      <c r="A157" s="33" t="str">
        <f aca="false">IF('Clockify Import'!A130="","",'Clockify Import'!E130)</f>
        <v/>
      </c>
      <c r="B157" s="15" t="str">
        <f aca="false">IF('Clockify Import'!A130="","",'Clockify Import'!H130)</f>
        <v/>
      </c>
      <c r="C157" s="15" t="str">
        <f aca="false">IF('Clockify Import'!A130="","",'Clockify Import'!B130)</f>
        <v/>
      </c>
      <c r="D157" s="15" t="str">
        <f aca="false">IF('Clockify Import'!A130="","",'Clockify Import'!D130)</f>
        <v/>
      </c>
      <c r="E157" s="29" t="str">
        <f aca="false">IF('Clockify Import'!A130="","",'Clockify Import'!F130)</f>
        <v/>
      </c>
    </row>
    <row r="158" customFormat="false" ht="15" hidden="false" customHeight="false" outlineLevel="0" collapsed="false">
      <c r="A158" s="33" t="str">
        <f aca="false">IF('Clockify Import'!A131="","",'Clockify Import'!E131)</f>
        <v/>
      </c>
      <c r="B158" s="15" t="str">
        <f aca="false">IF('Clockify Import'!A131="","",'Clockify Import'!H131)</f>
        <v/>
      </c>
      <c r="C158" s="15" t="str">
        <f aca="false">IF('Clockify Import'!A131="","",'Clockify Import'!B131)</f>
        <v/>
      </c>
      <c r="D158" s="15" t="str">
        <f aca="false">IF('Clockify Import'!A131="","",'Clockify Import'!D131)</f>
        <v/>
      </c>
      <c r="E158" s="29" t="str">
        <f aca="false">IF('Clockify Import'!A131="","",'Clockify Import'!F131)</f>
        <v/>
      </c>
    </row>
    <row r="159" customFormat="false" ht="15" hidden="false" customHeight="false" outlineLevel="0" collapsed="false">
      <c r="A159" s="33" t="str">
        <f aca="false">IF('Clockify Import'!A132="","",'Clockify Import'!E132)</f>
        <v/>
      </c>
      <c r="B159" s="15" t="str">
        <f aca="false">IF('Clockify Import'!A132="","",'Clockify Import'!H132)</f>
        <v/>
      </c>
      <c r="C159" s="15" t="str">
        <f aca="false">IF('Clockify Import'!A132="","",'Clockify Import'!B132)</f>
        <v/>
      </c>
      <c r="D159" s="15" t="str">
        <f aca="false">IF('Clockify Import'!A132="","",'Clockify Import'!D132)</f>
        <v/>
      </c>
      <c r="E159" s="29" t="str">
        <f aca="false">IF('Clockify Import'!A132="","",'Clockify Import'!F132)</f>
        <v/>
      </c>
    </row>
    <row r="160" customFormat="false" ht="15" hidden="false" customHeight="false" outlineLevel="0" collapsed="false">
      <c r="A160" s="33" t="str">
        <f aca="false">IF('Clockify Import'!A133="","",'Clockify Import'!E133)</f>
        <v/>
      </c>
      <c r="B160" s="15" t="str">
        <f aca="false">IF('Clockify Import'!A133="","",'Clockify Import'!H133)</f>
        <v/>
      </c>
      <c r="C160" s="15" t="str">
        <f aca="false">IF('Clockify Import'!A133="","",'Clockify Import'!B133)</f>
        <v/>
      </c>
      <c r="D160" s="15" t="str">
        <f aca="false">IF('Clockify Import'!A133="","",'Clockify Import'!D133)</f>
        <v/>
      </c>
      <c r="E160" s="29" t="str">
        <f aca="false">IF('Clockify Import'!A133="","",'Clockify Import'!F133)</f>
        <v/>
      </c>
    </row>
    <row r="161" customFormat="false" ht="15" hidden="false" customHeight="false" outlineLevel="0" collapsed="false">
      <c r="A161" s="33" t="str">
        <f aca="false">IF('Clockify Import'!A134="","",'Clockify Import'!E134)</f>
        <v/>
      </c>
      <c r="B161" s="15" t="str">
        <f aca="false">IF('Clockify Import'!A134="","",'Clockify Import'!H134)</f>
        <v/>
      </c>
      <c r="C161" s="15" t="str">
        <f aca="false">IF('Clockify Import'!A134="","",'Clockify Import'!B134)</f>
        <v/>
      </c>
      <c r="D161" s="15" t="str">
        <f aca="false">IF('Clockify Import'!A134="","",'Clockify Import'!D134)</f>
        <v/>
      </c>
      <c r="E161" s="29" t="str">
        <f aca="false">IF('Clockify Import'!A134="","",'Clockify Import'!F134)</f>
        <v/>
      </c>
    </row>
    <row r="162" customFormat="false" ht="15" hidden="false" customHeight="false" outlineLevel="0" collapsed="false">
      <c r="A162" s="33" t="str">
        <f aca="false">IF('Clockify Import'!A135="","",'Clockify Import'!E135)</f>
        <v/>
      </c>
      <c r="B162" s="15" t="str">
        <f aca="false">IF('Clockify Import'!A135="","",'Clockify Import'!H135)</f>
        <v/>
      </c>
      <c r="C162" s="15" t="str">
        <f aca="false">IF('Clockify Import'!A135="","",'Clockify Import'!B135)</f>
        <v/>
      </c>
      <c r="D162" s="15" t="str">
        <f aca="false">IF('Clockify Import'!A135="","",'Clockify Import'!D135)</f>
        <v/>
      </c>
      <c r="E162" s="29" t="str">
        <f aca="false">IF('Clockify Import'!A135="","",'Clockify Import'!F135)</f>
        <v/>
      </c>
    </row>
    <row r="163" customFormat="false" ht="15" hidden="false" customHeight="false" outlineLevel="0" collapsed="false">
      <c r="A163" s="33" t="str">
        <f aca="false">IF('Clockify Import'!A136="","",'Clockify Import'!E136)</f>
        <v/>
      </c>
      <c r="B163" s="15" t="str">
        <f aca="false">IF('Clockify Import'!A136="","",'Clockify Import'!H136)</f>
        <v/>
      </c>
      <c r="C163" s="15" t="str">
        <f aca="false">IF('Clockify Import'!A136="","",'Clockify Import'!B136)</f>
        <v/>
      </c>
      <c r="D163" s="15" t="str">
        <f aca="false">IF('Clockify Import'!A136="","",'Clockify Import'!D136)</f>
        <v/>
      </c>
      <c r="E163" s="29" t="str">
        <f aca="false">IF('Clockify Import'!A136="","",'Clockify Import'!F136)</f>
        <v/>
      </c>
    </row>
    <row r="164" customFormat="false" ht="15" hidden="false" customHeight="false" outlineLevel="0" collapsed="false">
      <c r="A164" s="33" t="str">
        <f aca="false">IF('Clockify Import'!A137="","",'Clockify Import'!E137)</f>
        <v/>
      </c>
      <c r="B164" s="15" t="str">
        <f aca="false">IF('Clockify Import'!A137="","",'Clockify Import'!H137)</f>
        <v/>
      </c>
      <c r="C164" s="15" t="str">
        <f aca="false">IF('Clockify Import'!A137="","",'Clockify Import'!B137)</f>
        <v/>
      </c>
      <c r="D164" s="15" t="str">
        <f aca="false">IF('Clockify Import'!A137="","",'Clockify Import'!D137)</f>
        <v/>
      </c>
      <c r="E164" s="29" t="str">
        <f aca="false">IF('Clockify Import'!A137="","",'Clockify Import'!F137)</f>
        <v/>
      </c>
    </row>
    <row r="165" customFormat="false" ht="15" hidden="false" customHeight="false" outlineLevel="0" collapsed="false">
      <c r="A165" s="33" t="str">
        <f aca="false">IF('Clockify Import'!A138="","",'Clockify Import'!E138)</f>
        <v/>
      </c>
      <c r="B165" s="15" t="str">
        <f aca="false">IF('Clockify Import'!A138="","",'Clockify Import'!H138)</f>
        <v/>
      </c>
      <c r="C165" s="15" t="str">
        <f aca="false">IF('Clockify Import'!A138="","",'Clockify Import'!B138)</f>
        <v/>
      </c>
      <c r="D165" s="15" t="str">
        <f aca="false">IF('Clockify Import'!A138="","",'Clockify Import'!D138)</f>
        <v/>
      </c>
      <c r="E165" s="29" t="str">
        <f aca="false">IF('Clockify Import'!A138="","",'Clockify Import'!F138)</f>
        <v/>
      </c>
    </row>
    <row r="166" customFormat="false" ht="15" hidden="false" customHeight="false" outlineLevel="0" collapsed="false">
      <c r="A166" s="33" t="str">
        <f aca="false">IF('Clockify Import'!A139="","",'Clockify Import'!E139)</f>
        <v/>
      </c>
      <c r="B166" s="15" t="str">
        <f aca="false">IF('Clockify Import'!A139="","",'Clockify Import'!H139)</f>
        <v/>
      </c>
      <c r="C166" s="15" t="str">
        <f aca="false">IF('Clockify Import'!A139="","",'Clockify Import'!B139)</f>
        <v/>
      </c>
      <c r="D166" s="15" t="str">
        <f aca="false">IF('Clockify Import'!A139="","",'Clockify Import'!D139)</f>
        <v/>
      </c>
      <c r="E166" s="29" t="str">
        <f aca="false">IF('Clockify Import'!A139="","",'Clockify Import'!F139)</f>
        <v/>
      </c>
    </row>
    <row r="167" customFormat="false" ht="15" hidden="false" customHeight="false" outlineLevel="0" collapsed="false">
      <c r="A167" s="33" t="str">
        <f aca="false">IF('Clockify Import'!A140="","",'Clockify Import'!E140)</f>
        <v/>
      </c>
      <c r="B167" s="15" t="str">
        <f aca="false">IF('Clockify Import'!A140="","",'Clockify Import'!H140)</f>
        <v/>
      </c>
      <c r="C167" s="15" t="str">
        <f aca="false">IF('Clockify Import'!A140="","",'Clockify Import'!B140)</f>
        <v/>
      </c>
      <c r="D167" s="15" t="str">
        <f aca="false">IF('Clockify Import'!A140="","",'Clockify Import'!D140)</f>
        <v/>
      </c>
      <c r="E167" s="29" t="str">
        <f aca="false">IF('Clockify Import'!A140="","",'Clockify Import'!F140)</f>
        <v/>
      </c>
    </row>
    <row r="168" customFormat="false" ht="15" hidden="false" customHeight="false" outlineLevel="0" collapsed="false">
      <c r="A168" s="33" t="str">
        <f aca="false">IF('Clockify Import'!A141="","",'Clockify Import'!E141)</f>
        <v/>
      </c>
      <c r="B168" s="15" t="str">
        <f aca="false">IF('Clockify Import'!A141="","",'Clockify Import'!H141)</f>
        <v/>
      </c>
      <c r="C168" s="15" t="str">
        <f aca="false">IF('Clockify Import'!A141="","",'Clockify Import'!B141)</f>
        <v/>
      </c>
      <c r="D168" s="15" t="str">
        <f aca="false">IF('Clockify Import'!A141="","",'Clockify Import'!D141)</f>
        <v/>
      </c>
      <c r="E168" s="29" t="str">
        <f aca="false">IF('Clockify Import'!A141="","",'Clockify Import'!F141)</f>
        <v/>
      </c>
    </row>
    <row r="169" customFormat="false" ht="15" hidden="false" customHeight="false" outlineLevel="0" collapsed="false">
      <c r="A169" s="33" t="str">
        <f aca="false">IF('Clockify Import'!A142="","",'Clockify Import'!E142)</f>
        <v/>
      </c>
      <c r="B169" s="15" t="str">
        <f aca="false">IF('Clockify Import'!A142="","",'Clockify Import'!H142)</f>
        <v/>
      </c>
      <c r="C169" s="15" t="str">
        <f aca="false">IF('Clockify Import'!A142="","",'Clockify Import'!B142)</f>
        <v/>
      </c>
      <c r="D169" s="15" t="str">
        <f aca="false">IF('Clockify Import'!A142="","",'Clockify Import'!D142)</f>
        <v/>
      </c>
      <c r="E169" s="29" t="str">
        <f aca="false">IF('Clockify Import'!A142="","",'Clockify Import'!F142)</f>
        <v/>
      </c>
    </row>
    <row r="170" customFormat="false" ht="15" hidden="false" customHeight="false" outlineLevel="0" collapsed="false">
      <c r="A170" s="33" t="str">
        <f aca="false">IF('Clockify Import'!A143="","",'Clockify Import'!E143)</f>
        <v/>
      </c>
      <c r="B170" s="15" t="str">
        <f aca="false">IF('Clockify Import'!A143="","",'Clockify Import'!H143)</f>
        <v/>
      </c>
      <c r="C170" s="15" t="str">
        <f aca="false">IF('Clockify Import'!A143="","",'Clockify Import'!B143)</f>
        <v/>
      </c>
      <c r="D170" s="15" t="str">
        <f aca="false">IF('Clockify Import'!A143="","",'Clockify Import'!D143)</f>
        <v/>
      </c>
      <c r="E170" s="29" t="str">
        <f aca="false">IF('Clockify Import'!A143="","",'Clockify Import'!F143)</f>
        <v/>
      </c>
    </row>
    <row r="171" customFormat="false" ht="15" hidden="false" customHeight="false" outlineLevel="0" collapsed="false">
      <c r="A171" s="33" t="str">
        <f aca="false">IF('Clockify Import'!A144="","",'Clockify Import'!E144)</f>
        <v/>
      </c>
      <c r="B171" s="15" t="str">
        <f aca="false">IF('Clockify Import'!A144="","",'Clockify Import'!H144)</f>
        <v/>
      </c>
      <c r="C171" s="15" t="str">
        <f aca="false">IF('Clockify Import'!A144="","",'Clockify Import'!B144)</f>
        <v/>
      </c>
      <c r="D171" s="15" t="str">
        <f aca="false">IF('Clockify Import'!A144="","",'Clockify Import'!D144)</f>
        <v/>
      </c>
      <c r="E171" s="29" t="str">
        <f aca="false">IF('Clockify Import'!A144="","",'Clockify Import'!F144)</f>
        <v/>
      </c>
    </row>
    <row r="172" customFormat="false" ht="15" hidden="false" customHeight="false" outlineLevel="0" collapsed="false">
      <c r="A172" s="33" t="str">
        <f aca="false">IF('Clockify Import'!A145="","",'Clockify Import'!E145)</f>
        <v/>
      </c>
      <c r="B172" s="15" t="str">
        <f aca="false">IF('Clockify Import'!A145="","",'Clockify Import'!H145)</f>
        <v/>
      </c>
      <c r="C172" s="15" t="str">
        <f aca="false">IF('Clockify Import'!A145="","",'Clockify Import'!B145)</f>
        <v/>
      </c>
      <c r="D172" s="15" t="str">
        <f aca="false">IF('Clockify Import'!A145="","",'Clockify Import'!D145)</f>
        <v/>
      </c>
      <c r="E172" s="29" t="str">
        <f aca="false">IF('Clockify Import'!A145="","",'Clockify Import'!F145)</f>
        <v/>
      </c>
    </row>
    <row r="173" customFormat="false" ht="15" hidden="false" customHeight="false" outlineLevel="0" collapsed="false">
      <c r="A173" s="33" t="str">
        <f aca="false">IF('Clockify Import'!A146="","",'Clockify Import'!E146)</f>
        <v/>
      </c>
      <c r="B173" s="15" t="str">
        <f aca="false">IF('Clockify Import'!A146="","",'Clockify Import'!H146)</f>
        <v/>
      </c>
      <c r="C173" s="15" t="str">
        <f aca="false">IF('Clockify Import'!A146="","",'Clockify Import'!B146)</f>
        <v/>
      </c>
      <c r="D173" s="15" t="str">
        <f aca="false">IF('Clockify Import'!A146="","",'Clockify Import'!D146)</f>
        <v/>
      </c>
      <c r="E173" s="29" t="str">
        <f aca="false">IF('Clockify Import'!A146="","",'Clockify Import'!F146)</f>
        <v/>
      </c>
    </row>
    <row r="174" customFormat="false" ht="15" hidden="false" customHeight="false" outlineLevel="0" collapsed="false">
      <c r="A174" s="33" t="str">
        <f aca="false">IF('Clockify Import'!A147="","",'Clockify Import'!E147)</f>
        <v/>
      </c>
      <c r="B174" s="15" t="str">
        <f aca="false">IF('Clockify Import'!A147="","",'Clockify Import'!H147)</f>
        <v/>
      </c>
      <c r="C174" s="15" t="str">
        <f aca="false">IF('Clockify Import'!A147="","",'Clockify Import'!B147)</f>
        <v/>
      </c>
      <c r="D174" s="15" t="str">
        <f aca="false">IF('Clockify Import'!A147="","",'Clockify Import'!D147)</f>
        <v/>
      </c>
      <c r="E174" s="29" t="str">
        <f aca="false">IF('Clockify Import'!A147="","",'Clockify Import'!F147)</f>
        <v/>
      </c>
    </row>
    <row r="175" customFormat="false" ht="15" hidden="false" customHeight="false" outlineLevel="0" collapsed="false">
      <c r="A175" s="33" t="str">
        <f aca="false">IF('Clockify Import'!A148="","",'Clockify Import'!E148)</f>
        <v/>
      </c>
      <c r="B175" s="15" t="str">
        <f aca="false">IF('Clockify Import'!A148="","",'Clockify Import'!H148)</f>
        <v/>
      </c>
      <c r="C175" s="15" t="str">
        <f aca="false">IF('Clockify Import'!A148="","",'Clockify Import'!B148)</f>
        <v/>
      </c>
      <c r="D175" s="15" t="str">
        <f aca="false">IF('Clockify Import'!A148="","",'Clockify Import'!D148)</f>
        <v/>
      </c>
      <c r="E175" s="29" t="str">
        <f aca="false">IF('Clockify Import'!A148="","",'Clockify Import'!F148)</f>
        <v/>
      </c>
    </row>
    <row r="176" customFormat="false" ht="15" hidden="false" customHeight="false" outlineLevel="0" collapsed="false">
      <c r="A176" s="33" t="str">
        <f aca="false">IF('Clockify Import'!A149="","",'Clockify Import'!E149)</f>
        <v/>
      </c>
      <c r="B176" s="15" t="str">
        <f aca="false">IF('Clockify Import'!A149="","",'Clockify Import'!H149)</f>
        <v/>
      </c>
      <c r="C176" s="15" t="str">
        <f aca="false">IF('Clockify Import'!A149="","",'Clockify Import'!B149)</f>
        <v/>
      </c>
      <c r="D176" s="15" t="str">
        <f aca="false">IF('Clockify Import'!A149="","",'Clockify Import'!D149)</f>
        <v/>
      </c>
      <c r="E176" s="29" t="str">
        <f aca="false">IF('Clockify Import'!A149="","",'Clockify Import'!F149)</f>
        <v/>
      </c>
    </row>
    <row r="177" customFormat="false" ht="15" hidden="false" customHeight="false" outlineLevel="0" collapsed="false">
      <c r="A177" s="33" t="str">
        <f aca="false">IF('Clockify Import'!A150="","",'Clockify Import'!E150)</f>
        <v/>
      </c>
      <c r="B177" s="15" t="str">
        <f aca="false">IF('Clockify Import'!A150="","",'Clockify Import'!H150)</f>
        <v/>
      </c>
      <c r="C177" s="15" t="str">
        <f aca="false">IF('Clockify Import'!A150="","",'Clockify Import'!B150)</f>
        <v/>
      </c>
      <c r="D177" s="15" t="str">
        <f aca="false">IF('Clockify Import'!A150="","",'Clockify Import'!D150)</f>
        <v/>
      </c>
      <c r="E177" s="29" t="str">
        <f aca="false">IF('Clockify Import'!A150="","",'Clockify Import'!F150)</f>
        <v/>
      </c>
    </row>
    <row r="178" customFormat="false" ht="15" hidden="false" customHeight="false" outlineLevel="0" collapsed="false">
      <c r="A178" s="33" t="str">
        <f aca="false">IF('Clockify Import'!A151="","",'Clockify Import'!E151)</f>
        <v/>
      </c>
      <c r="B178" s="15" t="str">
        <f aca="false">IF('Clockify Import'!A151="","",'Clockify Import'!H151)</f>
        <v/>
      </c>
      <c r="C178" s="15" t="str">
        <f aca="false">IF('Clockify Import'!A151="","",'Clockify Import'!B151)</f>
        <v/>
      </c>
      <c r="D178" s="15" t="str">
        <f aca="false">IF('Clockify Import'!A151="","",'Clockify Import'!D151)</f>
        <v/>
      </c>
      <c r="E178" s="29" t="str">
        <f aca="false">IF('Clockify Import'!A151="","",'Clockify Import'!F151)</f>
        <v/>
      </c>
    </row>
    <row r="179" customFormat="false" ht="15" hidden="false" customHeight="false" outlineLevel="0" collapsed="false">
      <c r="A179" s="33" t="str">
        <f aca="false">IF('Clockify Import'!A152="","",'Clockify Import'!E152)</f>
        <v/>
      </c>
      <c r="B179" s="15" t="str">
        <f aca="false">IF('Clockify Import'!A152="","",'Clockify Import'!H152)</f>
        <v/>
      </c>
      <c r="C179" s="15" t="str">
        <f aca="false">IF('Clockify Import'!A152="","",'Clockify Import'!B152)</f>
        <v/>
      </c>
      <c r="D179" s="15" t="str">
        <f aca="false">IF('Clockify Import'!A152="","",'Clockify Import'!D152)</f>
        <v/>
      </c>
      <c r="E179" s="29" t="str">
        <f aca="false">IF('Clockify Import'!A152="","",'Clockify Import'!F152)</f>
        <v/>
      </c>
    </row>
    <row r="180" customFormat="false" ht="15" hidden="false" customHeight="false" outlineLevel="0" collapsed="false">
      <c r="A180" s="33" t="str">
        <f aca="false">IF('Clockify Import'!A153="","",'Clockify Import'!E153)</f>
        <v/>
      </c>
      <c r="B180" s="15" t="str">
        <f aca="false">IF('Clockify Import'!A153="","",'Clockify Import'!H153)</f>
        <v/>
      </c>
      <c r="C180" s="15" t="str">
        <f aca="false">IF('Clockify Import'!A153="","",'Clockify Import'!B153)</f>
        <v/>
      </c>
      <c r="D180" s="15" t="str">
        <f aca="false">IF('Clockify Import'!A153="","",'Clockify Import'!D153)</f>
        <v/>
      </c>
      <c r="E180" s="29" t="str">
        <f aca="false">IF('Clockify Import'!A153="","",'Clockify Import'!F153)</f>
        <v/>
      </c>
    </row>
    <row r="181" customFormat="false" ht="15" hidden="false" customHeight="false" outlineLevel="0" collapsed="false">
      <c r="A181" s="33" t="str">
        <f aca="false">IF('Clockify Import'!A154="","",'Clockify Import'!E154)</f>
        <v/>
      </c>
      <c r="B181" s="15" t="str">
        <f aca="false">IF('Clockify Import'!A154="","",'Clockify Import'!H154)</f>
        <v/>
      </c>
      <c r="C181" s="15" t="str">
        <f aca="false">IF('Clockify Import'!A154="","",'Clockify Import'!B154)</f>
        <v/>
      </c>
      <c r="D181" s="15" t="str">
        <f aca="false">IF('Clockify Import'!A154="","",'Clockify Import'!D154)</f>
        <v/>
      </c>
      <c r="E181" s="29" t="str">
        <f aca="false">IF('Clockify Import'!A154="","",'Clockify Import'!F154)</f>
        <v/>
      </c>
    </row>
    <row r="182" customFormat="false" ht="15" hidden="false" customHeight="false" outlineLevel="0" collapsed="false">
      <c r="A182" s="33" t="str">
        <f aca="false">IF('Clockify Import'!A155="","",'Clockify Import'!E155)</f>
        <v/>
      </c>
      <c r="B182" s="15" t="str">
        <f aca="false">IF('Clockify Import'!A155="","",'Clockify Import'!H155)</f>
        <v/>
      </c>
      <c r="C182" s="15" t="str">
        <f aca="false">IF('Clockify Import'!A155="","",'Clockify Import'!B155)</f>
        <v/>
      </c>
      <c r="D182" s="15" t="str">
        <f aca="false">IF('Clockify Import'!A155="","",'Clockify Import'!D155)</f>
        <v/>
      </c>
      <c r="E182" s="29" t="str">
        <f aca="false">IF('Clockify Import'!A155="","",'Clockify Import'!F155)</f>
        <v/>
      </c>
    </row>
    <row r="183" customFormat="false" ht="15" hidden="false" customHeight="false" outlineLevel="0" collapsed="false">
      <c r="A183" s="33" t="str">
        <f aca="false">IF('Clockify Import'!A156="","",'Clockify Import'!E156)</f>
        <v/>
      </c>
      <c r="B183" s="15" t="str">
        <f aca="false">IF('Clockify Import'!A156="","",'Clockify Import'!H156)</f>
        <v/>
      </c>
      <c r="C183" s="15" t="str">
        <f aca="false">IF('Clockify Import'!A156="","",'Clockify Import'!B156)</f>
        <v/>
      </c>
      <c r="D183" s="15" t="str">
        <f aca="false">IF('Clockify Import'!A156="","",'Clockify Import'!D156)</f>
        <v/>
      </c>
      <c r="E183" s="29" t="str">
        <f aca="false">IF('Clockify Import'!A156="","",'Clockify Import'!F156)</f>
        <v/>
      </c>
    </row>
    <row r="184" customFormat="false" ht="15" hidden="false" customHeight="false" outlineLevel="0" collapsed="false">
      <c r="A184" s="33" t="str">
        <f aca="false">IF('Clockify Import'!A157="","",'Clockify Import'!E157)</f>
        <v/>
      </c>
      <c r="B184" s="15" t="str">
        <f aca="false">IF('Clockify Import'!A157="","",'Clockify Import'!H157)</f>
        <v/>
      </c>
      <c r="C184" s="15" t="str">
        <f aca="false">IF('Clockify Import'!A157="","",'Clockify Import'!B157)</f>
        <v/>
      </c>
      <c r="D184" s="15" t="str">
        <f aca="false">IF('Clockify Import'!A157="","",'Clockify Import'!D157)</f>
        <v/>
      </c>
      <c r="E184" s="29" t="str">
        <f aca="false">IF('Clockify Import'!A157="","",'Clockify Import'!F157)</f>
        <v/>
      </c>
    </row>
    <row r="185" customFormat="false" ht="15" hidden="false" customHeight="false" outlineLevel="0" collapsed="false">
      <c r="A185" s="33" t="str">
        <f aca="false">IF('Clockify Import'!A158="","",'Clockify Import'!E158)</f>
        <v/>
      </c>
      <c r="B185" s="15" t="str">
        <f aca="false">IF('Clockify Import'!A158="","",'Clockify Import'!H158)</f>
        <v/>
      </c>
      <c r="C185" s="15" t="str">
        <f aca="false">IF('Clockify Import'!A158="","",'Clockify Import'!B158)</f>
        <v/>
      </c>
      <c r="D185" s="15" t="str">
        <f aca="false">IF('Clockify Import'!A158="","",'Clockify Import'!D158)</f>
        <v/>
      </c>
      <c r="E185" s="29" t="str">
        <f aca="false">IF('Clockify Import'!A158="","",'Clockify Import'!F158)</f>
        <v/>
      </c>
    </row>
    <row r="186" customFormat="false" ht="15" hidden="false" customHeight="false" outlineLevel="0" collapsed="false">
      <c r="A186" s="33" t="str">
        <f aca="false">IF('Clockify Import'!A159="","",'Clockify Import'!E159)</f>
        <v/>
      </c>
      <c r="B186" s="15" t="str">
        <f aca="false">IF('Clockify Import'!A159="","",'Clockify Import'!H159)</f>
        <v/>
      </c>
      <c r="C186" s="15" t="str">
        <f aca="false">IF('Clockify Import'!A159="","",'Clockify Import'!B159)</f>
        <v/>
      </c>
      <c r="D186" s="15" t="str">
        <f aca="false">IF('Clockify Import'!A159="","",'Clockify Import'!D159)</f>
        <v/>
      </c>
      <c r="E186" s="29" t="str">
        <f aca="false">IF('Clockify Import'!A159="","",'Clockify Import'!F159)</f>
        <v/>
      </c>
    </row>
    <row r="187" customFormat="false" ht="15" hidden="false" customHeight="false" outlineLevel="0" collapsed="false">
      <c r="A187" s="33" t="str">
        <f aca="false">IF('Clockify Import'!A160="","",'Clockify Import'!E160)</f>
        <v/>
      </c>
      <c r="B187" s="15" t="str">
        <f aca="false">IF('Clockify Import'!A160="","",'Clockify Import'!H160)</f>
        <v/>
      </c>
      <c r="C187" s="15" t="str">
        <f aca="false">IF('Clockify Import'!A160="","",'Clockify Import'!B160)</f>
        <v/>
      </c>
      <c r="D187" s="15" t="str">
        <f aca="false">IF('Clockify Import'!A160="","",'Clockify Import'!D160)</f>
        <v/>
      </c>
      <c r="E187" s="29" t="str">
        <f aca="false">IF('Clockify Import'!A160="","",'Clockify Import'!F160)</f>
        <v/>
      </c>
    </row>
    <row r="188" customFormat="false" ht="15" hidden="false" customHeight="false" outlineLevel="0" collapsed="false">
      <c r="A188" s="33" t="str">
        <f aca="false">IF('Clockify Import'!A161="","",'Clockify Import'!E161)</f>
        <v/>
      </c>
      <c r="B188" s="15" t="str">
        <f aca="false">IF('Clockify Import'!A161="","",'Clockify Import'!H161)</f>
        <v/>
      </c>
      <c r="C188" s="15" t="str">
        <f aca="false">IF('Clockify Import'!A161="","",'Clockify Import'!B161)</f>
        <v/>
      </c>
      <c r="D188" s="15" t="str">
        <f aca="false">IF('Clockify Import'!A161="","",'Clockify Import'!D161)</f>
        <v/>
      </c>
      <c r="E188" s="29" t="str">
        <f aca="false">IF('Clockify Import'!A161="","",'Clockify Import'!F161)</f>
        <v/>
      </c>
    </row>
    <row r="189" customFormat="false" ht="15" hidden="false" customHeight="false" outlineLevel="0" collapsed="false">
      <c r="A189" s="33" t="str">
        <f aca="false">IF('Clockify Import'!A162="","",'Clockify Import'!E162)</f>
        <v/>
      </c>
      <c r="B189" s="15" t="str">
        <f aca="false">IF('Clockify Import'!A162="","",'Clockify Import'!H162)</f>
        <v/>
      </c>
      <c r="C189" s="15" t="str">
        <f aca="false">IF('Clockify Import'!A162="","",'Clockify Import'!B162)</f>
        <v/>
      </c>
      <c r="D189" s="15" t="str">
        <f aca="false">IF('Clockify Import'!A162="","",'Clockify Import'!D162)</f>
        <v/>
      </c>
      <c r="E189" s="29" t="str">
        <f aca="false">IF('Clockify Import'!A162="","",'Clockify Import'!F162)</f>
        <v/>
      </c>
    </row>
    <row r="190" customFormat="false" ht="15" hidden="false" customHeight="false" outlineLevel="0" collapsed="false">
      <c r="A190" s="33" t="str">
        <f aca="false">IF('Clockify Import'!A163="","",'Clockify Import'!E163)</f>
        <v/>
      </c>
      <c r="B190" s="15" t="str">
        <f aca="false">IF('Clockify Import'!A163="","",'Clockify Import'!H163)</f>
        <v/>
      </c>
      <c r="C190" s="15" t="str">
        <f aca="false">IF('Clockify Import'!A163="","",'Clockify Import'!B163)</f>
        <v/>
      </c>
      <c r="D190" s="15" t="str">
        <f aca="false">IF('Clockify Import'!A163="","",'Clockify Import'!D163)</f>
        <v/>
      </c>
      <c r="E190" s="29" t="str">
        <f aca="false">IF('Clockify Import'!A163="","",'Clockify Import'!F163)</f>
        <v/>
      </c>
    </row>
    <row r="191" customFormat="false" ht="15" hidden="false" customHeight="false" outlineLevel="0" collapsed="false">
      <c r="A191" s="33" t="str">
        <f aca="false">IF('Clockify Import'!A164="","",'Clockify Import'!E164)</f>
        <v/>
      </c>
      <c r="B191" s="15" t="str">
        <f aca="false">IF('Clockify Import'!A164="","",'Clockify Import'!H164)</f>
        <v/>
      </c>
      <c r="C191" s="15" t="str">
        <f aca="false">IF('Clockify Import'!A164="","",'Clockify Import'!B164)</f>
        <v/>
      </c>
      <c r="D191" s="15" t="str">
        <f aca="false">IF('Clockify Import'!A164="","",'Clockify Import'!D164)</f>
        <v/>
      </c>
      <c r="E191" s="29" t="str">
        <f aca="false">IF('Clockify Import'!A164="","",'Clockify Import'!F164)</f>
        <v/>
      </c>
    </row>
    <row r="192" customFormat="false" ht="15" hidden="false" customHeight="false" outlineLevel="0" collapsed="false">
      <c r="A192" s="33" t="str">
        <f aca="false">IF('Clockify Import'!A165="","",'Clockify Import'!E165)</f>
        <v/>
      </c>
      <c r="B192" s="15" t="str">
        <f aca="false">IF('Clockify Import'!A165="","",'Clockify Import'!H165)</f>
        <v/>
      </c>
      <c r="C192" s="15" t="str">
        <f aca="false">IF('Clockify Import'!A165="","",'Clockify Import'!B165)</f>
        <v/>
      </c>
      <c r="D192" s="15" t="str">
        <f aca="false">IF('Clockify Import'!A165="","",'Clockify Import'!D165)</f>
        <v/>
      </c>
      <c r="E192" s="29" t="str">
        <f aca="false">IF('Clockify Import'!A165="","",'Clockify Import'!F165)</f>
        <v/>
      </c>
    </row>
    <row r="193" customFormat="false" ht="15" hidden="false" customHeight="false" outlineLevel="0" collapsed="false">
      <c r="A193" s="33" t="str">
        <f aca="false">IF('Clockify Import'!A166="","",'Clockify Import'!E166)</f>
        <v/>
      </c>
      <c r="B193" s="15" t="str">
        <f aca="false">IF('Clockify Import'!A166="","",'Clockify Import'!H166)</f>
        <v/>
      </c>
      <c r="C193" s="15" t="str">
        <f aca="false">IF('Clockify Import'!A166="","",'Clockify Import'!B166)</f>
        <v/>
      </c>
      <c r="D193" s="15" t="str">
        <f aca="false">IF('Clockify Import'!A166="","",'Clockify Import'!D166)</f>
        <v/>
      </c>
      <c r="E193" s="29" t="str">
        <f aca="false">IF('Clockify Import'!A166="","",'Clockify Import'!F166)</f>
        <v/>
      </c>
    </row>
    <row r="194" customFormat="false" ht="15" hidden="false" customHeight="false" outlineLevel="0" collapsed="false">
      <c r="A194" s="33" t="str">
        <f aca="false">IF('Clockify Import'!A167="","",'Clockify Import'!E167)</f>
        <v/>
      </c>
      <c r="B194" s="15" t="str">
        <f aca="false">IF('Clockify Import'!A167="","",'Clockify Import'!H167)</f>
        <v/>
      </c>
      <c r="C194" s="15" t="str">
        <f aca="false">IF('Clockify Import'!A167="","",'Clockify Import'!B167)</f>
        <v/>
      </c>
      <c r="D194" s="15" t="str">
        <f aca="false">IF('Clockify Import'!A167="","",'Clockify Import'!D167)</f>
        <v/>
      </c>
      <c r="E194" s="29" t="str">
        <f aca="false">IF('Clockify Import'!A167="","",'Clockify Import'!F167)</f>
        <v/>
      </c>
    </row>
    <row r="195" customFormat="false" ht="15" hidden="false" customHeight="false" outlineLevel="0" collapsed="false">
      <c r="A195" s="33" t="str">
        <f aca="false">IF('Clockify Import'!A168="","",'Clockify Import'!E168)</f>
        <v/>
      </c>
      <c r="B195" s="15" t="str">
        <f aca="false">IF('Clockify Import'!A168="","",'Clockify Import'!H168)</f>
        <v/>
      </c>
      <c r="C195" s="15" t="str">
        <f aca="false">IF('Clockify Import'!A168="","",'Clockify Import'!B168)</f>
        <v/>
      </c>
      <c r="D195" s="15" t="str">
        <f aca="false">IF('Clockify Import'!A168="","",'Clockify Import'!D168)</f>
        <v/>
      </c>
      <c r="E195" s="29" t="str">
        <f aca="false">IF('Clockify Import'!A168="","",'Clockify Import'!F168)</f>
        <v/>
      </c>
    </row>
    <row r="196" customFormat="false" ht="15" hidden="false" customHeight="false" outlineLevel="0" collapsed="false">
      <c r="A196" s="33" t="str">
        <f aca="false">IF('Clockify Import'!A169="","",'Clockify Import'!E169)</f>
        <v/>
      </c>
      <c r="B196" s="15" t="str">
        <f aca="false">IF('Clockify Import'!A169="","",'Clockify Import'!H169)</f>
        <v/>
      </c>
      <c r="C196" s="15" t="str">
        <f aca="false">IF('Clockify Import'!A169="","",'Clockify Import'!B169)</f>
        <v/>
      </c>
      <c r="D196" s="15" t="str">
        <f aca="false">IF('Clockify Import'!A169="","",'Clockify Import'!D169)</f>
        <v/>
      </c>
      <c r="E196" s="29" t="str">
        <f aca="false">IF('Clockify Import'!A169="","",'Clockify Import'!F169)</f>
        <v/>
      </c>
    </row>
    <row r="197" customFormat="false" ht="15" hidden="false" customHeight="false" outlineLevel="0" collapsed="false">
      <c r="A197" s="33" t="str">
        <f aca="false">IF('Clockify Import'!A170="","",'Clockify Import'!E170)</f>
        <v/>
      </c>
      <c r="B197" s="15" t="str">
        <f aca="false">IF('Clockify Import'!A170="","",'Clockify Import'!H170)</f>
        <v/>
      </c>
      <c r="C197" s="15" t="str">
        <f aca="false">IF('Clockify Import'!A170="","",'Clockify Import'!B170)</f>
        <v/>
      </c>
      <c r="D197" s="15" t="str">
        <f aca="false">IF('Clockify Import'!A170="","",'Clockify Import'!D170)</f>
        <v/>
      </c>
      <c r="E197" s="29" t="str">
        <f aca="false">IF('Clockify Import'!A170="","",'Clockify Import'!F170)</f>
        <v/>
      </c>
    </row>
    <row r="198" customFormat="false" ht="15" hidden="false" customHeight="false" outlineLevel="0" collapsed="false">
      <c r="A198" s="33" t="str">
        <f aca="false">IF('Clockify Import'!A171="","",'Clockify Import'!E171)</f>
        <v/>
      </c>
      <c r="B198" s="15" t="str">
        <f aca="false">IF('Clockify Import'!A171="","",'Clockify Import'!H171)</f>
        <v/>
      </c>
      <c r="C198" s="15" t="str">
        <f aca="false">IF('Clockify Import'!A171="","",'Clockify Import'!B171)</f>
        <v/>
      </c>
      <c r="D198" s="15" t="str">
        <f aca="false">IF('Clockify Import'!A171="","",'Clockify Import'!D171)</f>
        <v/>
      </c>
      <c r="E198" s="29" t="str">
        <f aca="false">IF('Clockify Import'!A171="","",'Clockify Import'!F171)</f>
        <v/>
      </c>
    </row>
    <row r="199" customFormat="false" ht="15" hidden="false" customHeight="false" outlineLevel="0" collapsed="false">
      <c r="A199" s="33" t="str">
        <f aca="false">IF('Clockify Import'!A172="","",'Clockify Import'!E172)</f>
        <v/>
      </c>
      <c r="B199" s="15" t="str">
        <f aca="false">IF('Clockify Import'!A172="","",'Clockify Import'!H172)</f>
        <v/>
      </c>
      <c r="C199" s="15" t="str">
        <f aca="false">IF('Clockify Import'!A172="","",'Clockify Import'!B172)</f>
        <v/>
      </c>
      <c r="D199" s="15" t="str">
        <f aca="false">IF('Clockify Import'!A172="","",'Clockify Import'!D172)</f>
        <v/>
      </c>
      <c r="E199" s="29" t="str">
        <f aca="false">IF('Clockify Import'!A172="","",'Clockify Import'!F172)</f>
        <v/>
      </c>
    </row>
    <row r="200" customFormat="false" ht="15" hidden="false" customHeight="false" outlineLevel="0" collapsed="false">
      <c r="A200" s="33" t="str">
        <f aca="false">IF('Clockify Import'!A173="","",'Clockify Import'!E173)</f>
        <v/>
      </c>
      <c r="B200" s="15" t="str">
        <f aca="false">IF('Clockify Import'!A173="","",'Clockify Import'!H173)</f>
        <v/>
      </c>
      <c r="C200" s="15" t="str">
        <f aca="false">IF('Clockify Import'!A173="","",'Clockify Import'!B173)</f>
        <v/>
      </c>
      <c r="D200" s="15" t="str">
        <f aca="false">IF('Clockify Import'!A173="","",'Clockify Import'!D173)</f>
        <v/>
      </c>
      <c r="E200" s="29" t="str">
        <f aca="false">IF('Clockify Import'!A173="","",'Clockify Import'!F173)</f>
        <v/>
      </c>
    </row>
    <row r="201" customFormat="false" ht="15" hidden="false" customHeight="false" outlineLevel="0" collapsed="false">
      <c r="A201" s="33" t="str">
        <f aca="false">IF('Clockify Import'!A174="","",'Clockify Import'!E174)</f>
        <v/>
      </c>
      <c r="B201" s="15" t="str">
        <f aca="false">IF('Clockify Import'!A174="","",'Clockify Import'!H174)</f>
        <v/>
      </c>
      <c r="C201" s="15" t="str">
        <f aca="false">IF('Clockify Import'!A174="","",'Clockify Import'!B174)</f>
        <v/>
      </c>
      <c r="D201" s="15" t="str">
        <f aca="false">IF('Clockify Import'!A174="","",'Clockify Import'!D174)</f>
        <v/>
      </c>
      <c r="E201" s="29" t="str">
        <f aca="false">IF('Clockify Import'!A174="","",'Clockify Import'!F174)</f>
        <v/>
      </c>
    </row>
    <row r="202" customFormat="false" ht="15" hidden="false" customHeight="false" outlineLevel="0" collapsed="false">
      <c r="A202" s="33" t="str">
        <f aca="false">IF('Clockify Import'!A175="","",'Clockify Import'!E175)</f>
        <v/>
      </c>
      <c r="B202" s="15" t="str">
        <f aca="false">IF('Clockify Import'!A175="","",'Clockify Import'!H175)</f>
        <v/>
      </c>
      <c r="C202" s="15" t="str">
        <f aca="false">IF('Clockify Import'!A175="","",'Clockify Import'!B175)</f>
        <v/>
      </c>
      <c r="D202" s="15" t="str">
        <f aca="false">IF('Clockify Import'!A175="","",'Clockify Import'!D175)</f>
        <v/>
      </c>
      <c r="E202" s="29" t="str">
        <f aca="false">IF('Clockify Import'!A175="","",'Clockify Import'!F175)</f>
        <v/>
      </c>
    </row>
    <row r="203" customFormat="false" ht="15" hidden="false" customHeight="false" outlineLevel="0" collapsed="false">
      <c r="A203" s="33" t="str">
        <f aca="false">IF('Clockify Import'!A176="","",'Clockify Import'!E176)</f>
        <v/>
      </c>
      <c r="B203" s="15" t="str">
        <f aca="false">IF('Clockify Import'!A176="","",'Clockify Import'!H176)</f>
        <v/>
      </c>
      <c r="C203" s="15" t="str">
        <f aca="false">IF('Clockify Import'!A176="","",'Clockify Import'!B176)</f>
        <v/>
      </c>
      <c r="D203" s="15" t="str">
        <f aca="false">IF('Clockify Import'!A176="","",'Clockify Import'!D176)</f>
        <v/>
      </c>
      <c r="E203" s="29" t="str">
        <f aca="false">IF('Clockify Import'!A176="","",'Clockify Import'!F176)</f>
        <v/>
      </c>
    </row>
    <row r="204" customFormat="false" ht="15" hidden="false" customHeight="false" outlineLevel="0" collapsed="false">
      <c r="A204" s="33" t="str">
        <f aca="false">IF('Clockify Import'!A177="","",'Clockify Import'!E177)</f>
        <v/>
      </c>
      <c r="B204" s="15" t="str">
        <f aca="false">IF('Clockify Import'!A177="","",'Clockify Import'!H177)</f>
        <v/>
      </c>
      <c r="C204" s="15" t="str">
        <f aca="false">IF('Clockify Import'!A177="","",'Clockify Import'!B177)</f>
        <v/>
      </c>
      <c r="D204" s="15" t="str">
        <f aca="false">IF('Clockify Import'!A177="","",'Clockify Import'!D177)</f>
        <v/>
      </c>
      <c r="E204" s="29" t="str">
        <f aca="false">IF('Clockify Import'!A177="","",'Clockify Import'!F177)</f>
        <v/>
      </c>
    </row>
    <row r="205" customFormat="false" ht="15" hidden="false" customHeight="false" outlineLevel="0" collapsed="false">
      <c r="A205" s="33" t="str">
        <f aca="false">IF('Clockify Import'!A178="","",'Clockify Import'!E178)</f>
        <v/>
      </c>
      <c r="B205" s="15" t="str">
        <f aca="false">IF('Clockify Import'!A178="","",'Clockify Import'!H178)</f>
        <v/>
      </c>
      <c r="C205" s="15" t="str">
        <f aca="false">IF('Clockify Import'!A178="","",'Clockify Import'!B178)</f>
        <v/>
      </c>
      <c r="D205" s="15" t="str">
        <f aca="false">IF('Clockify Import'!A178="","",'Clockify Import'!D178)</f>
        <v/>
      </c>
      <c r="E205" s="29" t="str">
        <f aca="false">IF('Clockify Import'!A178="","",'Clockify Import'!F178)</f>
        <v/>
      </c>
    </row>
    <row r="206" customFormat="false" ht="15" hidden="false" customHeight="false" outlineLevel="0" collapsed="false">
      <c r="A206" s="33" t="str">
        <f aca="false">IF('Clockify Import'!A179="","",'Clockify Import'!E179)</f>
        <v/>
      </c>
      <c r="B206" s="15" t="str">
        <f aca="false">IF('Clockify Import'!A179="","",'Clockify Import'!H179)</f>
        <v/>
      </c>
      <c r="C206" s="15" t="str">
        <f aca="false">IF('Clockify Import'!A179="","",'Clockify Import'!B179)</f>
        <v/>
      </c>
      <c r="D206" s="15" t="str">
        <f aca="false">IF('Clockify Import'!A179="","",'Clockify Import'!D179)</f>
        <v/>
      </c>
      <c r="E206" s="29" t="str">
        <f aca="false">IF('Clockify Import'!A179="","",'Clockify Import'!F179)</f>
        <v/>
      </c>
    </row>
    <row r="207" customFormat="false" ht="15" hidden="false" customHeight="false" outlineLevel="0" collapsed="false">
      <c r="A207" s="33" t="str">
        <f aca="false">IF('Clockify Import'!A180="","",'Clockify Import'!E180)</f>
        <v/>
      </c>
      <c r="B207" s="15" t="str">
        <f aca="false">IF('Clockify Import'!A180="","",'Clockify Import'!H180)</f>
        <v/>
      </c>
      <c r="C207" s="15" t="str">
        <f aca="false">IF('Clockify Import'!A180="","",'Clockify Import'!B180)</f>
        <v/>
      </c>
      <c r="D207" s="15" t="str">
        <f aca="false">IF('Clockify Import'!A180="","",'Clockify Import'!D180)</f>
        <v/>
      </c>
      <c r="E207" s="29" t="str">
        <f aca="false">IF('Clockify Import'!A180="","",'Clockify Import'!F180)</f>
        <v/>
      </c>
    </row>
    <row r="208" customFormat="false" ht="15" hidden="false" customHeight="false" outlineLevel="0" collapsed="false">
      <c r="A208" s="33" t="str">
        <f aca="false">IF('Clockify Import'!A181="","",'Clockify Import'!E181)</f>
        <v/>
      </c>
      <c r="B208" s="15" t="str">
        <f aca="false">IF('Clockify Import'!A181="","",'Clockify Import'!H181)</f>
        <v/>
      </c>
      <c r="C208" s="15" t="str">
        <f aca="false">IF('Clockify Import'!A181="","",'Clockify Import'!B181)</f>
        <v/>
      </c>
      <c r="D208" s="15" t="str">
        <f aca="false">IF('Clockify Import'!A181="","",'Clockify Import'!D181)</f>
        <v/>
      </c>
      <c r="E208" s="29" t="str">
        <f aca="false">IF('Clockify Import'!A181="","",'Clockify Import'!F181)</f>
        <v/>
      </c>
    </row>
    <row r="209" customFormat="false" ht="15" hidden="false" customHeight="false" outlineLevel="0" collapsed="false">
      <c r="A209" s="33" t="str">
        <f aca="false">IF('Clockify Import'!A182="","",'Clockify Import'!E182)</f>
        <v/>
      </c>
      <c r="B209" s="15" t="str">
        <f aca="false">IF('Clockify Import'!A182="","",'Clockify Import'!H182)</f>
        <v/>
      </c>
      <c r="C209" s="15" t="str">
        <f aca="false">IF('Clockify Import'!A182="","",'Clockify Import'!B182)</f>
        <v/>
      </c>
      <c r="D209" s="15" t="str">
        <f aca="false">IF('Clockify Import'!A182="","",'Clockify Import'!D182)</f>
        <v/>
      </c>
      <c r="E209" s="29" t="str">
        <f aca="false">IF('Clockify Import'!A182="","",'Clockify Import'!F182)</f>
        <v/>
      </c>
    </row>
    <row r="210" customFormat="false" ht="15" hidden="false" customHeight="false" outlineLevel="0" collapsed="false">
      <c r="A210" s="33" t="str">
        <f aca="false">IF('Clockify Import'!A183="","",'Clockify Import'!E183)</f>
        <v/>
      </c>
      <c r="B210" s="15" t="str">
        <f aca="false">IF('Clockify Import'!A183="","",'Clockify Import'!H183)</f>
        <v/>
      </c>
      <c r="C210" s="15" t="str">
        <f aca="false">IF('Clockify Import'!A183="","",'Clockify Import'!B183)</f>
        <v/>
      </c>
      <c r="D210" s="15" t="str">
        <f aca="false">IF('Clockify Import'!A183="","",'Clockify Import'!D183)</f>
        <v/>
      </c>
      <c r="E210" s="29" t="str">
        <f aca="false">IF('Clockify Import'!A183="","",'Clockify Import'!F183)</f>
        <v/>
      </c>
    </row>
    <row r="211" customFormat="false" ht="15" hidden="false" customHeight="false" outlineLevel="0" collapsed="false">
      <c r="A211" s="33" t="str">
        <f aca="false">IF('Clockify Import'!A184="","",'Clockify Import'!E184)</f>
        <v/>
      </c>
      <c r="B211" s="15" t="str">
        <f aca="false">IF('Clockify Import'!A184="","",'Clockify Import'!H184)</f>
        <v/>
      </c>
      <c r="C211" s="15" t="str">
        <f aca="false">IF('Clockify Import'!A184="","",'Clockify Import'!B184)</f>
        <v/>
      </c>
      <c r="D211" s="15" t="str">
        <f aca="false">IF('Clockify Import'!A184="","",'Clockify Import'!D184)</f>
        <v/>
      </c>
      <c r="E211" s="29" t="str">
        <f aca="false">IF('Clockify Import'!A184="","",'Clockify Import'!F184)</f>
        <v/>
      </c>
    </row>
    <row r="212" customFormat="false" ht="15" hidden="false" customHeight="false" outlineLevel="0" collapsed="false">
      <c r="A212" s="33" t="str">
        <f aca="false">IF('Clockify Import'!A185="","",'Clockify Import'!E185)</f>
        <v/>
      </c>
      <c r="B212" s="15" t="str">
        <f aca="false">IF('Clockify Import'!A185="","",'Clockify Import'!H185)</f>
        <v/>
      </c>
      <c r="C212" s="15" t="str">
        <f aca="false">IF('Clockify Import'!A185="","",'Clockify Import'!B185)</f>
        <v/>
      </c>
      <c r="D212" s="15" t="str">
        <f aca="false">IF('Clockify Import'!A185="","",'Clockify Import'!D185)</f>
        <v/>
      </c>
      <c r="E212" s="29" t="str">
        <f aca="false">IF('Clockify Import'!A185="","",'Clockify Import'!F185)</f>
        <v/>
      </c>
    </row>
    <row r="213" customFormat="false" ht="15" hidden="false" customHeight="false" outlineLevel="0" collapsed="false">
      <c r="A213" s="33" t="str">
        <f aca="false">IF('Clockify Import'!A186="","",'Clockify Import'!E186)</f>
        <v/>
      </c>
      <c r="B213" s="15" t="str">
        <f aca="false">IF('Clockify Import'!A186="","",'Clockify Import'!H186)</f>
        <v/>
      </c>
      <c r="C213" s="15" t="str">
        <f aca="false">IF('Clockify Import'!A186="","",'Clockify Import'!B186)</f>
        <v/>
      </c>
      <c r="D213" s="15" t="str">
        <f aca="false">IF('Clockify Import'!A186="","",'Clockify Import'!D186)</f>
        <v/>
      </c>
      <c r="E213" s="29" t="str">
        <f aca="false">IF('Clockify Import'!A186="","",'Clockify Import'!F186)</f>
        <v/>
      </c>
    </row>
    <row r="214" customFormat="false" ht="15" hidden="false" customHeight="false" outlineLevel="0" collapsed="false">
      <c r="A214" s="33" t="str">
        <f aca="false">IF('Clockify Import'!A187="","",'Clockify Import'!E187)</f>
        <v/>
      </c>
      <c r="B214" s="15" t="str">
        <f aca="false">IF('Clockify Import'!A187="","",'Clockify Import'!H187)</f>
        <v/>
      </c>
      <c r="C214" s="15" t="str">
        <f aca="false">IF('Clockify Import'!A187="","",'Clockify Import'!B187)</f>
        <v/>
      </c>
      <c r="D214" s="15" t="str">
        <f aca="false">IF('Clockify Import'!A187="","",'Clockify Import'!D187)</f>
        <v/>
      </c>
      <c r="E214" s="29" t="str">
        <f aca="false">IF('Clockify Import'!A187="","",'Clockify Import'!F187)</f>
        <v/>
      </c>
    </row>
    <row r="215" customFormat="false" ht="15" hidden="false" customHeight="false" outlineLevel="0" collapsed="false">
      <c r="A215" s="33" t="str">
        <f aca="false">IF('Clockify Import'!A188="","",'Clockify Import'!E188)</f>
        <v/>
      </c>
      <c r="B215" s="15" t="str">
        <f aca="false">IF('Clockify Import'!A188="","",'Clockify Import'!H188)</f>
        <v/>
      </c>
      <c r="C215" s="15" t="str">
        <f aca="false">IF('Clockify Import'!A188="","",'Clockify Import'!B188)</f>
        <v/>
      </c>
      <c r="D215" s="15" t="str">
        <f aca="false">IF('Clockify Import'!A188="","",'Clockify Import'!D188)</f>
        <v/>
      </c>
      <c r="E215" s="29" t="str">
        <f aca="false">IF('Clockify Import'!A188="","",'Clockify Import'!F188)</f>
        <v/>
      </c>
    </row>
    <row r="216" customFormat="false" ht="15" hidden="false" customHeight="false" outlineLevel="0" collapsed="false">
      <c r="A216" s="33" t="str">
        <f aca="false">IF('Clockify Import'!A189="","",'Clockify Import'!E189)</f>
        <v/>
      </c>
      <c r="B216" s="15" t="str">
        <f aca="false">IF('Clockify Import'!A189="","",'Clockify Import'!H189)</f>
        <v/>
      </c>
      <c r="C216" s="15" t="str">
        <f aca="false">IF('Clockify Import'!A189="","",'Clockify Import'!B189)</f>
        <v/>
      </c>
      <c r="D216" s="15" t="str">
        <f aca="false">IF('Clockify Import'!A189="","",'Clockify Import'!D189)</f>
        <v/>
      </c>
      <c r="E216" s="29" t="str">
        <f aca="false">IF('Clockify Import'!A189="","",'Clockify Import'!F189)</f>
        <v/>
      </c>
    </row>
    <row r="217" customFormat="false" ht="15" hidden="false" customHeight="false" outlineLevel="0" collapsed="false">
      <c r="A217" s="33" t="str">
        <f aca="false">IF('Clockify Import'!A190="","",'Clockify Import'!E190)</f>
        <v/>
      </c>
      <c r="B217" s="15" t="str">
        <f aca="false">IF('Clockify Import'!A190="","",'Clockify Import'!H190)</f>
        <v/>
      </c>
      <c r="C217" s="15" t="str">
        <f aca="false">IF('Clockify Import'!A190="","",'Clockify Import'!B190)</f>
        <v/>
      </c>
      <c r="D217" s="15" t="str">
        <f aca="false">IF('Clockify Import'!A190="","",'Clockify Import'!D190)</f>
        <v/>
      </c>
      <c r="E217" s="29" t="str">
        <f aca="false">IF('Clockify Import'!A190="","",'Clockify Import'!F190)</f>
        <v/>
      </c>
    </row>
    <row r="218" customFormat="false" ht="15" hidden="false" customHeight="false" outlineLevel="0" collapsed="false">
      <c r="A218" s="33" t="str">
        <f aca="false">IF('Clockify Import'!A191="","",'Clockify Import'!E191)</f>
        <v/>
      </c>
      <c r="B218" s="15" t="str">
        <f aca="false">IF('Clockify Import'!A191="","",'Clockify Import'!H191)</f>
        <v/>
      </c>
      <c r="C218" s="15" t="str">
        <f aca="false">IF('Clockify Import'!A191="","",'Clockify Import'!B191)</f>
        <v/>
      </c>
      <c r="D218" s="15" t="str">
        <f aca="false">IF('Clockify Import'!A191="","",'Clockify Import'!D191)</f>
        <v/>
      </c>
      <c r="E218" s="29" t="str">
        <f aca="false">IF('Clockify Import'!A191="","",'Clockify Import'!F191)</f>
        <v/>
      </c>
    </row>
    <row r="219" customFormat="false" ht="15" hidden="false" customHeight="false" outlineLevel="0" collapsed="false">
      <c r="A219" s="33" t="str">
        <f aca="false">IF('Clockify Import'!A192="","",'Clockify Import'!E192)</f>
        <v/>
      </c>
      <c r="B219" s="15" t="str">
        <f aca="false">IF('Clockify Import'!A192="","",'Clockify Import'!H192)</f>
        <v/>
      </c>
      <c r="C219" s="15" t="str">
        <f aca="false">IF('Clockify Import'!A192="","",'Clockify Import'!B192)</f>
        <v/>
      </c>
      <c r="D219" s="15" t="str">
        <f aca="false">IF('Clockify Import'!A192="","",'Clockify Import'!D192)</f>
        <v/>
      </c>
      <c r="E219" s="29" t="str">
        <f aca="false">IF('Clockify Import'!A192="","",'Clockify Import'!F192)</f>
        <v/>
      </c>
    </row>
    <row r="220" customFormat="false" ht="15" hidden="false" customHeight="false" outlineLevel="0" collapsed="false">
      <c r="A220" s="33" t="str">
        <f aca="false">IF('Clockify Import'!A193="","",'Clockify Import'!E193)</f>
        <v/>
      </c>
      <c r="B220" s="15" t="str">
        <f aca="false">IF('Clockify Import'!A193="","",'Clockify Import'!H193)</f>
        <v/>
      </c>
      <c r="C220" s="15" t="str">
        <f aca="false">IF('Clockify Import'!A193="","",'Clockify Import'!B193)</f>
        <v/>
      </c>
      <c r="D220" s="15" t="str">
        <f aca="false">IF('Clockify Import'!A193="","",'Clockify Import'!D193)</f>
        <v/>
      </c>
      <c r="E220" s="29" t="str">
        <f aca="false">IF('Clockify Import'!A193="","",'Clockify Import'!F193)</f>
        <v/>
      </c>
    </row>
    <row r="221" customFormat="false" ht="15" hidden="false" customHeight="false" outlineLevel="0" collapsed="false">
      <c r="A221" s="33" t="str">
        <f aca="false">IF('Clockify Import'!A194="","",'Clockify Import'!E194)</f>
        <v/>
      </c>
      <c r="B221" s="15" t="str">
        <f aca="false">IF('Clockify Import'!A194="","",'Clockify Import'!H194)</f>
        <v/>
      </c>
      <c r="C221" s="15" t="str">
        <f aca="false">IF('Clockify Import'!A194="","",'Clockify Import'!B194)</f>
        <v/>
      </c>
      <c r="D221" s="15" t="str">
        <f aca="false">IF('Clockify Import'!A194="","",'Clockify Import'!D194)</f>
        <v/>
      </c>
      <c r="E221" s="29" t="str">
        <f aca="false">IF('Clockify Import'!A194="","",'Clockify Import'!F194)</f>
        <v/>
      </c>
    </row>
    <row r="222" customFormat="false" ht="15" hidden="false" customHeight="false" outlineLevel="0" collapsed="false">
      <c r="A222" s="33" t="str">
        <f aca="false">IF('Clockify Import'!A195="","",'Clockify Import'!E195)</f>
        <v/>
      </c>
      <c r="B222" s="15" t="str">
        <f aca="false">IF('Clockify Import'!A195="","",'Clockify Import'!H195)</f>
        <v/>
      </c>
      <c r="C222" s="15" t="str">
        <f aca="false">IF('Clockify Import'!A195="","",'Clockify Import'!B195)</f>
        <v/>
      </c>
      <c r="D222" s="15" t="str">
        <f aca="false">IF('Clockify Import'!A195="","",'Clockify Import'!D195)</f>
        <v/>
      </c>
      <c r="E222" s="29" t="str">
        <f aca="false">IF('Clockify Import'!A195="","",'Clockify Import'!F195)</f>
        <v/>
      </c>
    </row>
    <row r="223" customFormat="false" ht="15" hidden="false" customHeight="false" outlineLevel="0" collapsed="false">
      <c r="A223" s="33" t="str">
        <f aca="false">IF('Clockify Import'!A196="","",'Clockify Import'!E196)</f>
        <v/>
      </c>
      <c r="B223" s="15" t="str">
        <f aca="false">IF('Clockify Import'!A196="","",'Clockify Import'!H196)</f>
        <v/>
      </c>
      <c r="C223" s="15" t="str">
        <f aca="false">IF('Clockify Import'!A196="","",'Clockify Import'!B196)</f>
        <v/>
      </c>
      <c r="D223" s="15" t="str">
        <f aca="false">IF('Clockify Import'!A196="","",'Clockify Import'!D196)</f>
        <v/>
      </c>
      <c r="E223" s="29" t="str">
        <f aca="false">IF('Clockify Import'!A196="","",'Clockify Import'!F196)</f>
        <v/>
      </c>
    </row>
    <row r="224" customFormat="false" ht="15" hidden="false" customHeight="false" outlineLevel="0" collapsed="false">
      <c r="A224" s="33" t="str">
        <f aca="false">IF('Clockify Import'!A197="","",'Clockify Import'!E197)</f>
        <v/>
      </c>
      <c r="B224" s="15" t="str">
        <f aca="false">IF('Clockify Import'!A197="","",'Clockify Import'!H197)</f>
        <v/>
      </c>
      <c r="C224" s="15" t="str">
        <f aca="false">IF('Clockify Import'!A197="","",'Clockify Import'!B197)</f>
        <v/>
      </c>
      <c r="D224" s="15" t="str">
        <f aca="false">IF('Clockify Import'!A197="","",'Clockify Import'!D197)</f>
        <v/>
      </c>
      <c r="E224" s="29" t="str">
        <f aca="false">IF('Clockify Import'!A197="","",'Clockify Import'!F197)</f>
        <v/>
      </c>
    </row>
    <row r="225" customFormat="false" ht="15" hidden="false" customHeight="false" outlineLevel="0" collapsed="false">
      <c r="A225" s="33" t="str">
        <f aca="false">IF('Clockify Import'!A198="","",'Clockify Import'!E198)</f>
        <v/>
      </c>
      <c r="B225" s="15" t="str">
        <f aca="false">IF('Clockify Import'!A198="","",'Clockify Import'!H198)</f>
        <v/>
      </c>
      <c r="C225" s="15" t="str">
        <f aca="false">IF('Clockify Import'!A198="","",'Clockify Import'!B198)</f>
        <v/>
      </c>
      <c r="D225" s="15" t="str">
        <f aca="false">IF('Clockify Import'!A198="","",'Clockify Import'!D198)</f>
        <v/>
      </c>
      <c r="E225" s="29" t="str">
        <f aca="false">IF('Clockify Import'!A198="","",'Clockify Import'!F198)</f>
        <v/>
      </c>
    </row>
    <row r="226" customFormat="false" ht="15" hidden="false" customHeight="false" outlineLevel="0" collapsed="false">
      <c r="A226" s="33" t="str">
        <f aca="false">IF('Clockify Import'!A199="","",'Clockify Import'!E199)</f>
        <v/>
      </c>
      <c r="B226" s="15" t="str">
        <f aca="false">IF('Clockify Import'!A199="","",'Clockify Import'!H199)</f>
        <v/>
      </c>
      <c r="C226" s="15" t="str">
        <f aca="false">IF('Clockify Import'!A199="","",'Clockify Import'!B199)</f>
        <v/>
      </c>
      <c r="D226" s="15" t="str">
        <f aca="false">IF('Clockify Import'!A199="","",'Clockify Import'!D199)</f>
        <v/>
      </c>
      <c r="E226" s="29" t="str">
        <f aca="false">IF('Clockify Import'!A199="","",'Clockify Import'!F199)</f>
        <v/>
      </c>
    </row>
    <row r="227" customFormat="false" ht="15" hidden="false" customHeight="false" outlineLevel="0" collapsed="false">
      <c r="A227" s="33" t="str">
        <f aca="false">IF('Clockify Import'!A200="","",'Clockify Import'!E200)</f>
        <v/>
      </c>
      <c r="B227" s="15" t="str">
        <f aca="false">IF('Clockify Import'!A200="","",'Clockify Import'!H200)</f>
        <v/>
      </c>
      <c r="C227" s="15" t="str">
        <f aca="false">IF('Clockify Import'!A200="","",'Clockify Import'!B200)</f>
        <v/>
      </c>
      <c r="D227" s="15" t="str">
        <f aca="false">IF('Clockify Import'!A200="","",'Clockify Import'!D200)</f>
        <v/>
      </c>
      <c r="E227" s="29" t="str">
        <f aca="false">IF('Clockify Import'!A200="","",'Clockify Import'!F200)</f>
        <v/>
      </c>
    </row>
    <row r="228" customFormat="false" ht="15" hidden="false" customHeight="false" outlineLevel="0" collapsed="false">
      <c r="A228" s="33" t="str">
        <f aca="false">IF('Clockify Import'!A201="","",'Clockify Import'!E201)</f>
        <v/>
      </c>
      <c r="B228" s="15" t="str">
        <f aca="false">IF('Clockify Import'!A201="","",'Clockify Import'!H201)</f>
        <v/>
      </c>
      <c r="C228" s="15" t="str">
        <f aca="false">IF('Clockify Import'!A201="","",'Clockify Import'!B201)</f>
        <v/>
      </c>
      <c r="D228" s="15" t="str">
        <f aca="false">IF('Clockify Import'!A201="","",'Clockify Import'!D201)</f>
        <v/>
      </c>
      <c r="E228" s="29" t="str">
        <f aca="false">IF('Clockify Import'!A201="","",'Clockify Import'!F201)</f>
        <v/>
      </c>
    </row>
    <row r="229" customFormat="false" ht="15" hidden="false" customHeight="false" outlineLevel="0" collapsed="false">
      <c r="A229" s="33" t="str">
        <f aca="false">IF('Clockify Import'!A202="","",'Clockify Import'!E202)</f>
        <v/>
      </c>
      <c r="B229" s="15" t="str">
        <f aca="false">IF('Clockify Import'!A202="","",'Clockify Import'!H202)</f>
        <v/>
      </c>
      <c r="C229" s="15" t="str">
        <f aca="false">IF('Clockify Import'!A202="","",'Clockify Import'!B202)</f>
        <v/>
      </c>
      <c r="D229" s="15" t="str">
        <f aca="false">IF('Clockify Import'!A202="","",'Clockify Import'!D202)</f>
        <v/>
      </c>
      <c r="E229" s="29" t="str">
        <f aca="false">IF('Clockify Import'!A202="","",'Clockify Import'!F202)</f>
        <v/>
      </c>
    </row>
    <row r="230" customFormat="false" ht="15" hidden="false" customHeight="false" outlineLevel="0" collapsed="false">
      <c r="A230" s="33" t="str">
        <f aca="false">IF('Clockify Import'!A203="","",'Clockify Import'!E203)</f>
        <v/>
      </c>
      <c r="B230" s="15" t="str">
        <f aca="false">IF('Clockify Import'!A203="","",'Clockify Import'!H203)</f>
        <v/>
      </c>
      <c r="C230" s="15" t="str">
        <f aca="false">IF('Clockify Import'!A203="","",'Clockify Import'!B203)</f>
        <v/>
      </c>
      <c r="D230" s="15" t="str">
        <f aca="false">IF('Clockify Import'!A203="","",'Clockify Import'!D203)</f>
        <v/>
      </c>
      <c r="E230" s="29" t="str">
        <f aca="false">IF('Clockify Import'!A203="","",'Clockify Import'!F203)</f>
        <v/>
      </c>
    </row>
    <row r="231" customFormat="false" ht="15" hidden="false" customHeight="false" outlineLevel="0" collapsed="false">
      <c r="A231" s="33" t="str">
        <f aca="false">IF('Clockify Import'!A204="","",'Clockify Import'!E204)</f>
        <v/>
      </c>
      <c r="B231" s="15" t="str">
        <f aca="false">IF('Clockify Import'!A204="","",'Clockify Import'!H204)</f>
        <v/>
      </c>
      <c r="C231" s="15" t="str">
        <f aca="false">IF('Clockify Import'!A204="","",'Clockify Import'!B204)</f>
        <v/>
      </c>
      <c r="D231" s="15" t="str">
        <f aca="false">IF('Clockify Import'!A204="","",'Clockify Import'!D204)</f>
        <v/>
      </c>
      <c r="E231" s="29" t="str">
        <f aca="false">IF('Clockify Import'!A204="","",'Clockify Import'!F204)</f>
        <v/>
      </c>
    </row>
  </sheetData>
  <mergeCells count="4">
    <mergeCell ref="A1:G1"/>
    <mergeCell ref="A2:G2"/>
    <mergeCell ref="A4:N4"/>
    <mergeCell ref="A30:G30"/>
  </mergeCells>
  <conditionalFormatting sqref="R7:R26">
    <cfRule type="cellIs" priority="2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A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5"/>
  </cols>
  <sheetData>
    <row r="1" customFormat="false" ht="17.35" hidden="false" customHeight="false" outlineLevel="0" collapsed="false">
      <c r="A1" s="34" t="s">
        <v>74</v>
      </c>
    </row>
    <row r="2" customFormat="false" ht="15" hidden="false" customHeight="false" outlineLevel="0" collapsed="false">
      <c r="A2" s="35"/>
    </row>
    <row r="3" customFormat="false" ht="15" hidden="false" customHeight="false" outlineLevel="0" collapsed="false">
      <c r="A3" s="36" t="s">
        <v>75</v>
      </c>
    </row>
    <row r="4" customFormat="false" ht="15" hidden="false" customHeight="false" outlineLevel="0" collapsed="false">
      <c r="A4" s="35" t="s">
        <v>76</v>
      </c>
    </row>
    <row r="5" customFormat="false" ht="15" hidden="false" customHeight="false" outlineLevel="0" collapsed="false">
      <c r="A5" s="35" t="s">
        <v>77</v>
      </c>
    </row>
    <row r="6" customFormat="false" ht="15" hidden="false" customHeight="false" outlineLevel="0" collapsed="false">
      <c r="A6" s="35" t="s">
        <v>78</v>
      </c>
    </row>
    <row r="7" customFormat="false" ht="15" hidden="false" customHeight="false" outlineLevel="0" collapsed="false">
      <c r="A7" s="35" t="s">
        <v>79</v>
      </c>
    </row>
    <row r="8" customFormat="false" ht="15" hidden="false" customHeight="false" outlineLevel="0" collapsed="false">
      <c r="A8" s="35" t="s">
        <v>80</v>
      </c>
    </row>
    <row r="9" customFormat="false" ht="15" hidden="false" customHeight="false" outlineLevel="0" collapsed="false">
      <c r="A9" s="35"/>
    </row>
    <row r="10" customFormat="false" ht="15" hidden="false" customHeight="false" outlineLevel="0" collapsed="false">
      <c r="A10" s="36" t="s">
        <v>81</v>
      </c>
    </row>
    <row r="11" customFormat="false" ht="15" hidden="false" customHeight="false" outlineLevel="0" collapsed="false">
      <c r="A11" s="35" t="s">
        <v>82</v>
      </c>
    </row>
    <row r="12" customFormat="false" ht="15" hidden="false" customHeight="false" outlineLevel="0" collapsed="false">
      <c r="A12" s="35" t="s">
        <v>83</v>
      </c>
    </row>
    <row r="13" customFormat="false" ht="15" hidden="false" customHeight="false" outlineLevel="0" collapsed="false">
      <c r="A13" s="35" t="s">
        <v>84</v>
      </c>
    </row>
    <row r="14" customFormat="false" ht="15" hidden="false" customHeight="false" outlineLevel="0" collapsed="false">
      <c r="A14" s="35" t="s">
        <v>85</v>
      </c>
    </row>
    <row r="15" customFormat="false" ht="15" hidden="false" customHeight="false" outlineLevel="0" collapsed="false">
      <c r="A15" s="35" t="s">
        <v>86</v>
      </c>
    </row>
    <row r="16" customFormat="false" ht="15" hidden="false" customHeight="false" outlineLevel="0" collapsed="false">
      <c r="A16" s="35"/>
    </row>
    <row r="17" customFormat="false" ht="15" hidden="false" customHeight="false" outlineLevel="0" collapsed="false">
      <c r="A17" s="36" t="s">
        <v>87</v>
      </c>
    </row>
    <row r="18" customFormat="false" ht="15" hidden="false" customHeight="false" outlineLevel="0" collapsed="false">
      <c r="A18" s="35" t="s">
        <v>88</v>
      </c>
    </row>
    <row r="19" customFormat="false" ht="15" hidden="false" customHeight="false" outlineLevel="0" collapsed="false">
      <c r="A19" s="35" t="s">
        <v>89</v>
      </c>
    </row>
    <row r="20" customFormat="false" ht="15" hidden="false" customHeight="false" outlineLevel="0" collapsed="false">
      <c r="A20" s="35" t="s">
        <v>90</v>
      </c>
    </row>
    <row r="21" customFormat="false" ht="15" hidden="false" customHeight="false" outlineLevel="0" collapsed="false">
      <c r="A21" s="35" t="s">
        <v>91</v>
      </c>
    </row>
    <row r="22" customFormat="false" ht="15" hidden="false" customHeight="false" outlineLevel="0" collapsed="false">
      <c r="A22" s="35"/>
    </row>
    <row r="23" customFormat="false" ht="15" hidden="false" customHeight="false" outlineLevel="0" collapsed="false">
      <c r="A23" s="36" t="s">
        <v>92</v>
      </c>
    </row>
    <row r="24" customFormat="false" ht="15" hidden="false" customHeight="false" outlineLevel="0" collapsed="false">
      <c r="A24" s="35" t="s">
        <v>93</v>
      </c>
    </row>
    <row r="25" customFormat="false" ht="15" hidden="false" customHeight="false" outlineLevel="0" collapsed="false">
      <c r="A25" s="35" t="s">
        <v>94</v>
      </c>
    </row>
    <row r="26" customFormat="false" ht="15" hidden="false" customHeight="false" outlineLevel="0" collapsed="false">
      <c r="A26" s="35"/>
    </row>
    <row r="27" customFormat="false" ht="15" hidden="false" customHeight="false" outlineLevel="0" collapsed="false">
      <c r="A27" s="36" t="s">
        <v>95</v>
      </c>
    </row>
    <row r="28" customFormat="false" ht="15" hidden="false" customHeight="false" outlineLevel="0" collapsed="false">
      <c r="A28" s="35" t="s">
        <v>96</v>
      </c>
    </row>
    <row r="29" customFormat="false" ht="15" hidden="false" customHeight="false" outlineLevel="0" collapsed="false">
      <c r="A29" s="35" t="s">
        <v>97</v>
      </c>
    </row>
    <row r="30" customFormat="false" ht="15" hidden="false" customHeight="false" outlineLevel="0" collapsed="false">
      <c r="A30" s="35" t="s">
        <v>98</v>
      </c>
    </row>
    <row r="31" customFormat="false" ht="15" hidden="false" customHeight="false" outlineLevel="0" collapsed="false">
      <c r="A31" s="35"/>
    </row>
    <row r="32" customFormat="false" ht="15" hidden="false" customHeight="false" outlineLevel="0" collapsed="false">
      <c r="A32" s="36" t="s">
        <v>99</v>
      </c>
    </row>
    <row r="33" customFormat="false" ht="15" hidden="false" customHeight="false" outlineLevel="0" collapsed="false">
      <c r="A33" s="35" t="s">
        <v>100</v>
      </c>
    </row>
    <row r="34" customFormat="false" ht="15" hidden="false" customHeight="false" outlineLevel="0" collapsed="false">
      <c r="A34" s="35" t="s">
        <v>101</v>
      </c>
    </row>
    <row r="35" customFormat="false" ht="15" hidden="false" customHeight="false" outlineLevel="0" collapsed="false">
      <c r="A35" s="35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2026-02-24T14:29:31Z</dcterms:created>
  <dc:creator>openpyxl</dc:creator>
  <dc:description/>
  <dc:language>en-US</dc:language>
  <cp:lastModifiedBy/>
  <dcterms:modified xsi:type="dcterms:W3CDTF">2026-02-24T14:29:31Z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